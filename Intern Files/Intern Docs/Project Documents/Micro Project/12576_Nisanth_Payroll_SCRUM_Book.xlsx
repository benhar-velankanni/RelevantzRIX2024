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835" documentId="11_959DBCF7C9E7B08522C49505AD6C224FD62E1081" xr6:coauthVersionLast="47" xr6:coauthVersionMax="47" xr10:uidLastSave="{E62A60C2-2B8B-4945-A08E-6B3AC8FBDE3F}"/>
  <bookViews>
    <workbookView xWindow="0" yWindow="0" windowWidth="16384" windowHeight="8192" tabRatio="500" firstSheet="4" activeTab="2" xr2:uid="{00000000-000D-0000-FFFF-FFFF00000000}"/>
  </bookViews>
  <sheets>
    <sheet name="Dashboard" sheetId="1" r:id="rId1"/>
    <sheet name="Epic" sheetId="2" r:id="rId2"/>
    <sheet name="WBS" sheetId="3" r:id="rId3"/>
    <sheet name="PBI" sheetId="4" r:id="rId4"/>
    <sheet name="Sprint-Backlog" sheetId="5" r:id="rId5"/>
    <sheet name="Sprint-Review|Retro|Actions" sheetId="6" r:id="rId6"/>
    <sheet name="Sprint-Capacity" sheetId="7" r:id="rId7"/>
    <sheet name="Datasheet" sheetId="8" r:id="rId8"/>
    <sheet name="Sprint 1" sheetId="10" r:id="rId9"/>
    <sheet name="Sprint 2" sheetId="9" r:id="rId10"/>
    <sheet name="Sprint 3" sheetId="11" r:id="rId1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20" i="7" l="1"/>
  <c r="F20" i="7"/>
  <c r="E20" i="7"/>
  <c r="D20" i="7"/>
  <c r="C20" i="7"/>
  <c r="C21" i="7" s="1"/>
  <c r="G12" i="7"/>
  <c r="F12" i="7"/>
  <c r="E12" i="7"/>
  <c r="D12" i="7"/>
  <c r="C12" i="7"/>
  <c r="C13" i="7" s="1"/>
  <c r="G5" i="7"/>
  <c r="F5" i="7"/>
  <c r="E5" i="7"/>
  <c r="D5" i="7"/>
  <c r="C5" i="7"/>
  <c r="C6" i="7" s="1"/>
  <c r="C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400-000001000000}">
      <text>
        <r>
          <rPr>
            <sz val="10"/>
            <rFont val="Arial"/>
            <family val="2"/>
          </rPr>
          <t xml:space="preserve">Karthic Vethachalam:
</t>
        </r>
        <r>
          <rPr>
            <sz val="9"/>
            <rFont val="Tahoma"/>
            <charset val="1"/>
          </rPr>
          <t xml:space="preserve">@Gowtham Sridharan Please make the sheet handy by formatting all the sheets neatly 
</t>
        </r>
      </text>
    </comment>
  </commentList>
</comments>
</file>

<file path=xl/sharedStrings.xml><?xml version="1.0" encoding="utf-8"?>
<sst xmlns="http://schemas.openxmlformats.org/spreadsheetml/2006/main" count="447" uniqueCount="199">
  <si>
    <t>Mini Payroll Summary Dashboard SCRUM Book</t>
  </si>
  <si>
    <t>Epic sheet</t>
  </si>
  <si>
    <t>WBS|PBI</t>
  </si>
  <si>
    <t>Sprint Backlog</t>
  </si>
  <si>
    <t>Sprint 1</t>
  </si>
  <si>
    <t>Sprint Capacity</t>
  </si>
  <si>
    <t>Sprint-Review|Retro</t>
  </si>
  <si>
    <t>Datasheet</t>
  </si>
  <si>
    <t>Sprint 2</t>
  </si>
  <si>
    <t>Product Backlog</t>
  </si>
  <si>
    <t>Sprint 3</t>
  </si>
  <si>
    <t>S.No.</t>
  </si>
  <si>
    <t>PBI ( a.k.a Work-Item)</t>
  </si>
  <si>
    <t>Duration Hrs</t>
  </si>
  <si>
    <t>Status</t>
  </si>
  <si>
    <t>Remarks</t>
  </si>
  <si>
    <t>&lt;-- Back-end Developement --&gt;</t>
  </si>
  <si>
    <t>Models, DTOs, Service Layer, and Utilities Implementation.</t>
  </si>
  <si>
    <t>Completed</t>
  </si>
  <si>
    <t>Service Controller Implementations for Audit and Notifications.</t>
  </si>
  <si>
    <t>&lt;-- Controllers Implementation --&gt;</t>
  </si>
  <si>
    <t>Authentication Capability Using JWT Bearer.</t>
  </si>
  <si>
    <t>Admin Controller Endpoints</t>
  </si>
  <si>
    <t>HR and HR Manager Endpoints</t>
  </si>
  <si>
    <t>Employee Endpoints</t>
  </si>
  <si>
    <t>&lt;-- Back-end QoL --&gt;</t>
  </si>
  <si>
    <t>Back-end Quality of Life changes and Optimizations.</t>
  </si>
  <si>
    <t>In Progress</t>
  </si>
  <si>
    <t>&lt;-- Front-end Developement --&gt;</t>
  </si>
  <si>
    <t>WireFrame And Requirement Analysis</t>
  </si>
  <si>
    <t>API config and Route Planning</t>
  </si>
  <si>
    <t>&lt;-- Front-end Pages--&gt;</t>
  </si>
  <si>
    <t xml:space="preserve"> AuthContext, NavBar, Protected Routes configuration.</t>
  </si>
  <si>
    <t>Login</t>
  </si>
  <si>
    <t>Dashboard</t>
  </si>
  <si>
    <t>Audit Page - Admin + HR Manager</t>
  </si>
  <si>
    <t>Notification Page</t>
  </si>
  <si>
    <t>Admin - User List Page</t>
  </si>
  <si>
    <t>Employee List Page - HR + HR Manager</t>
  </si>
  <si>
    <t>CTC Form - HR + HR Manager</t>
  </si>
  <si>
    <t>Pay Slip Form - HR + HR Manager</t>
  </si>
  <si>
    <t>Exports Page - HR</t>
  </si>
  <si>
    <t>Approvals Page - HR Manager</t>
  </si>
  <si>
    <t>Analytics - HR Manager</t>
  </si>
  <si>
    <t>Profile Page - Employee</t>
  </si>
  <si>
    <t>Pay Slip List Page - Employee</t>
  </si>
  <si>
    <t>Pay Slip and CTC Compare Page - Employee</t>
  </si>
  <si>
    <t>&lt;-- Front-end QoL --&gt;</t>
  </si>
  <si>
    <t>Front-end Quality of Life changes and Optimizations.</t>
  </si>
  <si>
    <t>Total Efforts (in Hrs)</t>
  </si>
  <si>
    <t>Hours</t>
  </si>
  <si>
    <t>USID</t>
  </si>
  <si>
    <t>AS A…</t>
  </si>
  <si>
    <t>SO THAT..</t>
  </si>
  <si>
    <t>Priority</t>
  </si>
  <si>
    <t>Sprint</t>
  </si>
  <si>
    <t>US001</t>
  </si>
  <si>
    <t xml:space="preserve">As an Admin, 
 I want to create skeletal user accounts for HR, HR Managers, and Employees, 
</t>
  </si>
  <si>
    <t xml:space="preserve">so that they can later fill in their personal and professional details. </t>
  </si>
  <si>
    <t>High</t>
  </si>
  <si>
    <t>US002</t>
  </si>
  <si>
    <t xml:space="preserve">As an Admin, 
 I want to reset passwords, 
</t>
  </si>
  <si>
    <t xml:space="preserve">so that users can securely access the system. </t>
  </si>
  <si>
    <t>Medium</t>
  </si>
  <si>
    <t>US003</t>
  </si>
  <si>
    <t>As an Admin, 
 I want to manage user account status,</t>
  </si>
  <si>
    <t xml:space="preserve">so that users can be set to active and inactive status. </t>
  </si>
  <si>
    <t>US004</t>
  </si>
  <si>
    <t xml:space="preserve">As an Admin, 
 I want to remove a user account, 
</t>
  </si>
  <si>
    <t xml:space="preserve">so that a user can no longer access the system. </t>
  </si>
  <si>
    <t>US005</t>
  </si>
  <si>
    <t xml:space="preserve">As an Admin, 
 I want to view and export audit logs, 
</t>
  </si>
  <si>
    <t xml:space="preserve"> so that they can be stored locally in my system for future use. </t>
  </si>
  <si>
    <t>Low</t>
  </si>
  <si>
    <t>US006</t>
  </si>
  <si>
    <t xml:space="preserve">As an HR or HR Manager, 
 I want to fill in detailed CTC (Cost to Company) information for employees, 
</t>
  </si>
  <si>
    <t xml:space="preserve"> so that payroll data is accurate and reflects all salary components.</t>
  </si>
  <si>
    <t>US007</t>
  </si>
  <si>
    <t xml:space="preserve">As an HR or HR Manager, 
 I want to generate a pay slip based on the latest approved CTC, 
</t>
  </si>
  <si>
    <t xml:space="preserve"> so that the pay slip can be sent for approval and processed accurately. </t>
  </si>
  <si>
    <t>US008</t>
  </si>
  <si>
    <t xml:space="preserve">As an HR, 
 I want to generate and export pay slips in PDF and Excel format, 
</t>
  </si>
  <si>
    <t xml:space="preserve">so that they can be used for compliance and audit purposes. </t>
  </si>
  <si>
    <t>US009</t>
  </si>
  <si>
    <t xml:space="preserve">As an HR/HR manager, 
 I want to view the employee list and select any employee, 
</t>
  </si>
  <si>
    <t xml:space="preserve"> so that I can generate and export their CTC and pay slip for payroll processing and audit purposes. </t>
  </si>
  <si>
    <t>US010</t>
  </si>
  <si>
    <t>As an HR Manager, 
 I want to review and approve CTC structures and pay slips submitted by HR</t>
  </si>
  <si>
    <t xml:space="preserve"> so that payroll is validated before release. </t>
  </si>
  <si>
    <t>US011</t>
  </si>
  <si>
    <t xml:space="preserve">As an HR Manager, 
 I want to release the approved pay slip, 
</t>
  </si>
  <si>
    <t xml:space="preserve">so that the employees can get their pay slip. </t>
  </si>
  <si>
    <t>US012</t>
  </si>
  <si>
    <t xml:space="preserve">As an HR Manager, 
 I want to generate and export pay slips in PDF format, 
</t>
  </si>
  <si>
    <t xml:space="preserve"> so that they can be used for compliance and audit purposes. </t>
  </si>
  <si>
    <t>US013</t>
  </si>
  <si>
    <t xml:space="preserve">As an HR Manager, 
 I want to view and export audit logs, 
</t>
  </si>
  <si>
    <t>US014</t>
  </si>
  <si>
    <t>As an HR Manager,
I want to view payroll analytics including summaries, comparisons, and anomalies,</t>
  </si>
  <si>
    <t>so that I can monitor payroll trends and detect irregularities.</t>
  </si>
  <si>
    <t>US015</t>
  </si>
  <si>
    <t>As an Employee, 
 I want to view and update my contact information</t>
  </si>
  <si>
    <t xml:space="preserve">so that my profile remains accurate and up to date. </t>
  </si>
  <si>
    <t>US016</t>
  </si>
  <si>
    <t xml:space="preserve">As an Employee, 
 I want to view my latest approved CTC breakdown, 
</t>
  </si>
  <si>
    <t xml:space="preserve">so that I understand my salary structure. </t>
  </si>
  <si>
    <t>US017</t>
  </si>
  <si>
    <t xml:space="preserve">As an Employee, 
 I want to view and download my CTC history, 
</t>
  </si>
  <si>
    <t xml:space="preserve"> so that I can track changes and keep records. </t>
  </si>
  <si>
    <t>US018</t>
  </si>
  <si>
    <t xml:space="preserve">As an Employee, 
 I want to view and download my pay slips (Payslip Comparison), 
</t>
  </si>
  <si>
    <t xml:space="preserve">so that I can track my earnings and maintain records. </t>
  </si>
  <si>
    <t>US019</t>
  </si>
  <si>
    <t xml:space="preserve">As a User, 
 I want to reset my password, 
</t>
  </si>
  <si>
    <t xml:space="preserve"> so that I can access my account.</t>
  </si>
  <si>
    <t>US020</t>
  </si>
  <si>
    <t>As a User, 
 I want to log in securely,</t>
  </si>
  <si>
    <t xml:space="preserve"> so that I can access my dashboard. </t>
  </si>
  <si>
    <t>US021</t>
  </si>
  <si>
    <t xml:space="preserve">As a User, 
 I want to receive notifications, 
</t>
  </si>
  <si>
    <t xml:space="preserve"> so that I can be updated on any action with respect to me. </t>
  </si>
  <si>
    <t>Legend :</t>
  </si>
  <si>
    <t>Sprint Status</t>
  </si>
  <si>
    <t>Success :</t>
  </si>
  <si>
    <t>Failure :</t>
  </si>
  <si>
    <t>Sprint#1</t>
  </si>
  <si>
    <t>User Story#</t>
  </si>
  <si>
    <t>Work-Item / Task</t>
  </si>
  <si>
    <t>Assigned to</t>
  </si>
  <si>
    <t>Planned</t>
  </si>
  <si>
    <t>Actual</t>
  </si>
  <si>
    <t xml:space="preserve">Status </t>
  </si>
  <si>
    <t>Start Date</t>
  </si>
  <si>
    <t>End Date</t>
  </si>
  <si>
    <t>Actual Start Date</t>
  </si>
  <si>
    <t>Actual End Date</t>
  </si>
  <si>
    <t>-</t>
  </si>
  <si>
    <t>Nisanth</t>
  </si>
  <si>
    <t>US005
US008
US012
US013
US018
US021</t>
  </si>
  <si>
    <t>US002
US020
US019</t>
  </si>
  <si>
    <t>US001
US002
US003
US004
US005</t>
  </si>
  <si>
    <t>US006
US007
US008
US009
US010
US011
US012
US013
US014</t>
  </si>
  <si>
    <t>US015
US016
US017
US018</t>
  </si>
  <si>
    <t>None</t>
  </si>
  <si>
    <t>US005
US013</t>
  </si>
  <si>
    <t>US001
US002
US003
US004</t>
  </si>
  <si>
    <t>US010
US011
US012</t>
  </si>
  <si>
    <t>US015
US016
US017</t>
  </si>
  <si>
    <t>Sprint Over All Status :</t>
  </si>
  <si>
    <t>Sprint#3</t>
  </si>
  <si>
    <t>Review Points</t>
  </si>
  <si>
    <t>Owner</t>
  </si>
  <si>
    <t>Retro Points</t>
  </si>
  <si>
    <t>Action Items from Review / Retro</t>
  </si>
  <si>
    <t>ETA</t>
  </si>
  <si>
    <t>What Went-Well ?</t>
  </si>
  <si>
    <t>?</t>
  </si>
  <si>
    <t>What Went-Wrong ?</t>
  </si>
  <si>
    <t>Late code integration</t>
  </si>
  <si>
    <t>Sprint#4</t>
  </si>
  <si>
    <t>Responsible Person</t>
  </si>
  <si>
    <t>Sprint#5</t>
  </si>
  <si>
    <t>Sprint#1 (10/09/2025 - 17/09/2025)</t>
  </si>
  <si>
    <t>Wednesday</t>
  </si>
  <si>
    <t>Thursday</t>
  </si>
  <si>
    <t>Friday</t>
  </si>
  <si>
    <t xml:space="preserve">Monday </t>
  </si>
  <si>
    <t>Tuesday</t>
  </si>
  <si>
    <t xml:space="preserve">Relevantz Hrs: </t>
  </si>
  <si>
    <t xml:space="preserve">Personal Hrs: </t>
  </si>
  <si>
    <t>Total Hrs (per day):</t>
  </si>
  <si>
    <t>Total Hrs (per Sprint):</t>
  </si>
  <si>
    <t>STATUS</t>
  </si>
  <si>
    <t>PRIORITY</t>
  </si>
  <si>
    <t>Not Started</t>
  </si>
  <si>
    <t>Carried</t>
  </si>
  <si>
    <t xml:space="preserve">Product </t>
  </si>
  <si>
    <t>Mini Pay Roll Summary Dashboard.</t>
  </si>
  <si>
    <t>#</t>
  </si>
  <si>
    <t>Name</t>
  </si>
  <si>
    <t xml:space="preserve">Team Name </t>
  </si>
  <si>
    <t xml:space="preserve">Role </t>
  </si>
  <si>
    <t>Sprint  #</t>
  </si>
  <si>
    <t>Sprint Duration</t>
  </si>
  <si>
    <t>Task</t>
  </si>
  <si>
    <t>Estimated Hours</t>
  </si>
  <si>
    <t>Impediments</t>
  </si>
  <si>
    <t>Nisanth Saravanan</t>
  </si>
  <si>
    <t>SCRUM Master</t>
  </si>
  <si>
    <t>5 Business Days
10/9/2025 - 17/9/2025</t>
  </si>
  <si>
    <t>Sprint Planning, Coordination, Review, Retro</t>
  </si>
  <si>
    <t>Back End Developer</t>
  </si>
  <si>
    <t>Create a comprehenside ASP .NET Web API for the application.</t>
  </si>
  <si>
    <t>Front End Developer</t>
  </si>
  <si>
    <t>Create a comprehenside React JS (CRA) front-end application.</t>
  </si>
  <si>
    <t>Tester and QA</t>
  </si>
  <si>
    <t>Test the functionalities of the API and the front-end by Unit Testing and Mannual Testing.
Perform automated testing.
Use tools like SonarQube for QA analysis.</t>
  </si>
  <si>
    <t>DevOps</t>
  </si>
  <si>
    <t>Deploy in Docker.
Deploy as a Jenkins Pipeline.
Deploy in Cloud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</si>
</sst>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charset val="1"/>
    </font>
    <font>
      <sz val="12"/>
      <color theme="1"/>
      <name val="Calibri"/>
      <charset val="1"/>
    </font>
    <font>
      <sz val="12"/>
      <name val="Calibri"/>
      <charset val="1"/>
    </font>
    <font>
      <u/>
      <sz val="11"/>
      <color theme="10"/>
      <name val="Aptos Narrow"/>
      <charset val="1"/>
    </font>
    <font>
      <u/>
      <sz val="12"/>
      <color theme="10"/>
      <name val="Calibri"/>
      <charset val="1"/>
    </font>
    <font>
      <sz val="11"/>
      <color theme="0"/>
      <name val="Aptos Narrow"/>
      <charset val="1"/>
    </font>
    <font>
      <sz val="12"/>
      <color theme="0"/>
      <name val="Calibri"/>
      <charset val="1"/>
    </font>
    <font>
      <b/>
      <sz val="16"/>
      <color rgb="FF0F4761"/>
      <name val="Aptos Display"/>
      <charset val="1"/>
    </font>
    <font>
      <sz val="12"/>
      <name val="Aptos"/>
      <charset val="1"/>
    </font>
    <font>
      <b/>
      <sz val="14"/>
      <color rgb="FF0F4761"/>
      <name val="Aptos"/>
      <charset val="1"/>
    </font>
    <font>
      <b/>
      <sz val="12"/>
      <name val="Aptos"/>
      <charset val="1"/>
    </font>
    <font>
      <sz val="14"/>
      <color rgb="FF0F4761"/>
      <name val="Aptos"/>
      <charset val="1"/>
    </font>
    <font>
      <b/>
      <i/>
      <sz val="12"/>
      <color rgb="FF0F4761"/>
      <name val="Aptos"/>
      <charset val="1"/>
    </font>
    <font>
      <i/>
      <sz val="12"/>
      <name val="Aptos"/>
      <charset val="1"/>
    </font>
    <font>
      <b/>
      <sz val="12"/>
      <color theme="1"/>
      <name val="Calibri"/>
      <charset val="1"/>
    </font>
    <font>
      <sz val="14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2"/>
      <name val="Calibri"/>
    </font>
    <font>
      <sz val="12"/>
      <color rgb="FF000000"/>
      <name val="Calibri"/>
      <family val="2"/>
      <charset val="1"/>
    </font>
    <font>
      <b/>
      <u/>
      <sz val="12"/>
      <color theme="1"/>
      <name val="Calibri"/>
      <charset val="1"/>
    </font>
    <font>
      <b/>
      <sz val="12"/>
      <color rgb="FFFF0000"/>
      <name val="Calibri"/>
      <charset val="1"/>
    </font>
    <font>
      <sz val="10"/>
      <name val="Arial"/>
      <family val="2"/>
    </font>
    <font>
      <sz val="9"/>
      <name val="Tahoma"/>
      <charset val="1"/>
    </font>
    <font>
      <sz val="12"/>
      <color rgb="FFFF0000"/>
      <name val="Calibri"/>
      <charset val="1"/>
    </font>
    <font>
      <b/>
      <sz val="12"/>
      <color theme="0"/>
      <name val="Calibri"/>
      <charset val="1"/>
    </font>
    <font>
      <sz val="14"/>
      <color rgb="FFFFFFFF"/>
      <name val="Calibri"/>
      <family val="2"/>
      <charset val="1"/>
    </font>
    <font>
      <b/>
      <sz val="12"/>
      <name val="Calibri"/>
      <charset val="1"/>
    </font>
    <font>
      <u/>
      <sz val="11"/>
      <color theme="1"/>
      <name val="Aptos Narrow"/>
      <charset val="1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rgb="FFFF0000"/>
      <name val="Calibri"/>
    </font>
    <font>
      <sz val="12"/>
      <color rgb="FF242424"/>
      <name val="Calibri"/>
    </font>
    <font>
      <sz val="12"/>
      <color theme="1"/>
      <name val="Calibri"/>
      <family val="2"/>
    </font>
    <font>
      <b/>
      <sz val="12"/>
      <color rgb="FFFF0000"/>
      <name val="Calibri"/>
    </font>
    <font>
      <b/>
      <sz val="12"/>
      <name val="Calibri"/>
    </font>
    <font>
      <sz val="12"/>
      <color theme="0"/>
      <name val="Calibri"/>
    </font>
  </fonts>
  <fills count="26">
    <fill>
      <patternFill patternType="none"/>
    </fill>
    <fill>
      <patternFill patternType="gray125"/>
    </fill>
    <fill>
      <patternFill patternType="solid">
        <fgColor theme="4"/>
        <bgColor rgb="FF0F4761"/>
      </patternFill>
    </fill>
    <fill>
      <patternFill patternType="solid">
        <fgColor rgb="FFFFFFFF"/>
        <bgColor rgb="FFFAE3D6"/>
      </patternFill>
    </fill>
    <fill>
      <patternFill patternType="solid">
        <fgColor rgb="FFC9DAF8"/>
        <bgColor rgb="FFD1D1D1"/>
      </patternFill>
    </fill>
    <fill>
      <patternFill patternType="solid">
        <fgColor theme="9" tint="0.39988402966399123"/>
        <bgColor rgb="FF83E491"/>
      </patternFill>
    </fill>
    <fill>
      <patternFill patternType="solid">
        <fgColor rgb="FF9DC3E6"/>
        <bgColor rgb="FFBFBFBF"/>
      </patternFill>
    </fill>
    <fill>
      <patternFill patternType="solid">
        <fgColor theme="4" tint="0.39988402966399123"/>
        <bgColor rgb="FF61CBF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theme="6" tint="0.59987182226020086"/>
        <bgColor rgb="FF8ED973"/>
      </patternFill>
    </fill>
    <fill>
      <patternFill patternType="solid">
        <fgColor theme="2" tint="-9.9978637043366805E-2"/>
        <bgColor rgb="FFC9DAF8"/>
      </patternFill>
    </fill>
    <fill>
      <patternFill patternType="solid">
        <fgColor rgb="FFFFC000"/>
        <bgColor rgb="FFFF9900"/>
      </patternFill>
    </fill>
    <fill>
      <patternFill patternType="solid">
        <fgColor theme="7" tint="0.79989013336588644"/>
        <bgColor rgb="FFC9DAF8"/>
      </patternFill>
    </fill>
    <fill>
      <patternFill patternType="solid">
        <fgColor theme="8" tint="0.79989013336588644"/>
        <bgColor rgb="FFFAE3D6"/>
      </patternFill>
    </fill>
    <fill>
      <patternFill patternType="solid">
        <fgColor theme="5" tint="0.79989013336588644"/>
        <bgColor rgb="FFF2CFEE"/>
      </patternFill>
    </fill>
    <fill>
      <patternFill patternType="solid">
        <fgColor rgb="FFC00000"/>
        <bgColor rgb="FFFF0000"/>
      </patternFill>
    </fill>
    <fill>
      <patternFill patternType="solid">
        <fgColor theme="1"/>
        <bgColor rgb="FF003300"/>
      </patternFill>
    </fill>
    <fill>
      <patternFill patternType="solid">
        <fgColor theme="7" tint="0.39988402966399123"/>
        <bgColor rgb="FF44B0E2"/>
      </patternFill>
    </fill>
    <fill>
      <patternFill patternType="solid">
        <fgColor rgb="FF222A35"/>
        <bgColor rgb="FF333300"/>
      </patternFill>
    </fill>
    <fill>
      <patternFill patternType="solid">
        <fgColor rgb="FFFFE699"/>
        <bgColor rgb="FFFFD966"/>
      </patternFill>
    </fill>
    <fill>
      <patternFill patternType="solid">
        <fgColor rgb="FFA9D18E"/>
        <bgColor rgb="FF8ED973"/>
      </patternFill>
    </fill>
    <fill>
      <patternFill patternType="solid">
        <fgColor rgb="FF00B0F0"/>
        <bgColor rgb="FF44B0E2"/>
      </patternFill>
    </fill>
    <fill>
      <patternFill patternType="solid">
        <fgColor theme="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3">
    <xf numFmtId="0" fontId="0" fillId="0" borderId="0"/>
    <xf numFmtId="0" fontId="3" fillId="0" borderId="0" applyBorder="0" applyProtection="0"/>
    <xf numFmtId="0" fontId="5" fillId="2" borderId="0" applyBorder="0" applyProtection="0"/>
  </cellStyleXfs>
  <cellXfs count="165">
    <xf numFmtId="0" fontId="0" fillId="0" borderId="0" xfId="0"/>
    <xf numFmtId="0" fontId="14" fillId="5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1" applyFont="1" applyBorder="1" applyProtection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11" borderId="0" xfId="0" applyFont="1" applyFill="1"/>
    <xf numFmtId="0" fontId="14" fillId="5" borderId="0" xfId="0" applyFont="1" applyFill="1"/>
    <xf numFmtId="0" fontId="14" fillId="13" borderId="1" xfId="0" applyFont="1" applyFill="1" applyBorder="1" applyAlignment="1">
      <alignment horizontal="center"/>
    </xf>
    <xf numFmtId="0" fontId="14" fillId="13" borderId="2" xfId="0" applyFont="1" applyFill="1" applyBorder="1" applyAlignment="1">
      <alignment horizontal="center"/>
    </xf>
    <xf numFmtId="0" fontId="14" fillId="11" borderId="0" xfId="0" applyFont="1" applyFill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14" fillId="15" borderId="8" xfId="0" applyFont="1" applyFill="1" applyBorder="1" applyAlignment="1">
      <alignment horizontal="center"/>
    </xf>
    <xf numFmtId="0" fontId="14" fillId="15" borderId="1" xfId="0" applyFont="1" applyFill="1" applyBorder="1" applyAlignment="1">
      <alignment horizontal="center"/>
    </xf>
    <xf numFmtId="0" fontId="14" fillId="10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5" xfId="0" applyFont="1" applyBorder="1"/>
    <xf numFmtId="0" fontId="23" fillId="0" borderId="1" xfId="0" applyFont="1" applyBorder="1" applyAlignment="1">
      <alignment horizontal="center"/>
    </xf>
    <xf numFmtId="0" fontId="1" fillId="0" borderId="8" xfId="0" applyFont="1" applyBorder="1"/>
    <xf numFmtId="0" fontId="2" fillId="0" borderId="9" xfId="0" applyFont="1" applyBorder="1" applyAlignment="1">
      <alignment horizontal="center"/>
    </xf>
    <xf numFmtId="0" fontId="24" fillId="16" borderId="1" xfId="0" applyFont="1" applyFill="1" applyBorder="1"/>
    <xf numFmtId="0" fontId="23" fillId="0" borderId="8" xfId="0" applyFont="1" applyBorder="1" applyAlignment="1">
      <alignment horizontal="center"/>
    </xf>
    <xf numFmtId="0" fontId="1" fillId="17" borderId="0" xfId="0" applyFont="1" applyFill="1"/>
    <xf numFmtId="0" fontId="23" fillId="0" borderId="5" xfId="0" applyFont="1" applyBorder="1" applyAlignment="1">
      <alignment horizontal="center"/>
    </xf>
    <xf numFmtId="0" fontId="2" fillId="0" borderId="1" xfId="0" applyFont="1" applyBorder="1"/>
    <xf numFmtId="0" fontId="1" fillId="0" borderId="10" xfId="0" applyFont="1" applyBorder="1"/>
    <xf numFmtId="0" fontId="6" fillId="18" borderId="0" xfId="0" applyFont="1" applyFill="1"/>
    <xf numFmtId="0" fontId="6" fillId="0" borderId="0" xfId="0" applyFont="1"/>
    <xf numFmtId="0" fontId="14" fillId="0" borderId="0" xfId="0" applyFont="1" applyAlignment="1">
      <alignment horizontal="right"/>
    </xf>
    <xf numFmtId="0" fontId="14" fillId="11" borderId="11" xfId="0" applyFont="1" applyFill="1" applyBorder="1"/>
    <xf numFmtId="0" fontId="14" fillId="8" borderId="4" xfId="0" applyFont="1" applyFill="1" applyBorder="1"/>
    <xf numFmtId="0" fontId="2" fillId="0" borderId="0" xfId="0" applyFont="1"/>
    <xf numFmtId="0" fontId="6" fillId="2" borderId="0" xfId="2" applyFont="1" applyBorder="1" applyProtection="1"/>
    <xf numFmtId="0" fontId="6" fillId="2" borderId="8" xfId="2" applyFont="1" applyBorder="1" applyAlignment="1" applyProtection="1">
      <alignment horizontal="center"/>
    </xf>
    <xf numFmtId="0" fontId="6" fillId="2" borderId="10" xfId="2" applyFont="1" applyBorder="1" applyProtection="1"/>
    <xf numFmtId="0" fontId="6" fillId="2" borderId="12" xfId="2" applyFont="1" applyBorder="1" applyProtection="1"/>
    <xf numFmtId="0" fontId="1" fillId="0" borderId="1" xfId="0" applyFont="1" applyBorder="1" applyAlignment="1">
      <alignment horizontal="center"/>
    </xf>
    <xf numFmtId="0" fontId="1" fillId="0" borderId="9" xfId="0" applyFont="1" applyBorder="1"/>
    <xf numFmtId="0" fontId="1" fillId="0" borderId="3" xfId="0" applyFont="1" applyBorder="1"/>
    <xf numFmtId="0" fontId="1" fillId="3" borderId="3" xfId="0" applyFont="1" applyFill="1" applyBorder="1"/>
    <xf numFmtId="0" fontId="1" fillId="0" borderId="6" xfId="0" applyFont="1" applyBorder="1"/>
    <xf numFmtId="0" fontId="1" fillId="0" borderId="12" xfId="0" applyFont="1" applyBorder="1"/>
    <xf numFmtId="0" fontId="1" fillId="3" borderId="3" xfId="0" applyFont="1" applyFill="1" applyBorder="1" applyAlignment="1">
      <alignment wrapText="1"/>
    </xf>
    <xf numFmtId="0" fontId="2" fillId="0" borderId="3" xfId="0" applyFont="1" applyBorder="1"/>
    <xf numFmtId="0" fontId="1" fillId="0" borderId="7" xfId="0" applyFont="1" applyBorder="1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7" fillId="3" borderId="1" xfId="2" applyFont="1" applyFill="1" applyBorder="1" applyAlignment="1" applyProtection="1">
      <alignment horizontal="center" vertical="center"/>
    </xf>
    <xf numFmtId="0" fontId="27" fillId="0" borderId="1" xfId="1" applyFont="1" applyBorder="1" applyAlignment="1" applyProtection="1">
      <alignment horizontal="center" vertical="center"/>
    </xf>
    <xf numFmtId="0" fontId="1" fillId="3" borderId="0" xfId="2" applyFont="1" applyFill="1" applyBorder="1" applyAlignment="1" applyProtection="1">
      <alignment horizontal="center" vertical="center"/>
    </xf>
    <xf numFmtId="0" fontId="3" fillId="0" borderId="0" xfId="1" applyBorder="1" applyProtection="1"/>
    <xf numFmtId="0" fontId="14" fillId="11" borderId="13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9" fillId="0" borderId="13" xfId="0" applyFont="1" applyBorder="1" applyAlignment="1">
      <alignment wrapText="1"/>
    </xf>
    <xf numFmtId="0" fontId="1" fillId="0" borderId="13" xfId="0" applyFont="1" applyBorder="1"/>
    <xf numFmtId="0" fontId="14" fillId="23" borderId="13" xfId="0" applyFont="1" applyFill="1" applyBorder="1" applyAlignment="1">
      <alignment horizontal="center" vertical="center"/>
    </xf>
    <xf numFmtId="0" fontId="1" fillId="23" borderId="13" xfId="0" applyFont="1" applyFill="1" applyBorder="1" applyAlignment="1">
      <alignment horizontal="center" vertical="center" wrapText="1"/>
    </xf>
    <xf numFmtId="0" fontId="14" fillId="23" borderId="13" xfId="0" applyFont="1" applyFill="1" applyBorder="1" applyAlignment="1">
      <alignment horizontal="center" vertical="center" wrapText="1"/>
    </xf>
    <xf numFmtId="0" fontId="29" fillId="0" borderId="13" xfId="0" applyFont="1" applyBorder="1" applyAlignment="1">
      <alignment horizontal="center" wrapText="1"/>
    </xf>
    <xf numFmtId="0" fontId="19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15" fontId="1" fillId="0" borderId="13" xfId="0" applyNumberFormat="1" applyFont="1" applyBorder="1" applyAlignment="1">
      <alignment horizontal="center" vertical="center" wrapText="1"/>
    </xf>
    <xf numFmtId="0" fontId="33" fillId="6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3" borderId="13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15" fontId="1" fillId="23" borderId="13" xfId="0" applyNumberFormat="1" applyFont="1" applyFill="1" applyBorder="1" applyAlignment="1">
      <alignment horizontal="center" vertical="center"/>
    </xf>
    <xf numFmtId="0" fontId="20" fillId="23" borderId="13" xfId="0" applyFont="1" applyFill="1" applyBorder="1" applyAlignment="1">
      <alignment horizontal="center" vertical="center"/>
    </xf>
    <xf numFmtId="0" fontId="33" fillId="20" borderId="1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5" fontId="1" fillId="0" borderId="23" xfId="0" applyNumberFormat="1" applyFont="1" applyBorder="1" applyAlignment="1">
      <alignment horizontal="center" vertical="center" wrapText="1"/>
    </xf>
    <xf numFmtId="0" fontId="30" fillId="0" borderId="13" xfId="0" applyFont="1" applyBorder="1" applyAlignment="1">
      <alignment horizontal="left" vertical="center" wrapText="1"/>
    </xf>
    <xf numFmtId="0" fontId="29" fillId="23" borderId="13" xfId="0" applyFont="1" applyFill="1" applyBorder="1" applyAlignment="1">
      <alignment horizontal="left" vertical="center" wrapText="1"/>
    </xf>
    <xf numFmtId="0" fontId="17" fillId="23" borderId="13" xfId="0" applyFont="1" applyFill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/>
    </xf>
    <xf numFmtId="0" fontId="25" fillId="19" borderId="24" xfId="0" applyFont="1" applyFill="1" applyBorder="1" applyAlignment="1">
      <alignment horizontal="center" vertical="center" wrapText="1" indent="1"/>
    </xf>
    <xf numFmtId="0" fontId="15" fillId="9" borderId="13" xfId="0" applyFont="1" applyFill="1" applyBorder="1" applyAlignment="1">
      <alignment horizontal="center" vertical="center" wrapText="1" indent="1"/>
    </xf>
    <xf numFmtId="0" fontId="15" fillId="12" borderId="13" xfId="0" applyFont="1" applyFill="1" applyBorder="1" applyAlignment="1">
      <alignment horizontal="center" vertical="center" wrapText="1" indent="1" readingOrder="1"/>
    </xf>
    <xf numFmtId="0" fontId="15" fillId="22" borderId="13" xfId="0" applyFont="1" applyFill="1" applyBorder="1" applyAlignment="1">
      <alignment horizontal="center" vertical="center" wrapText="1" indent="1" readingOrder="1"/>
    </xf>
    <xf numFmtId="0" fontId="16" fillId="0" borderId="0" xfId="0" applyFont="1" applyAlignment="1">
      <alignment horizontal="center" vertical="center"/>
    </xf>
    <xf numFmtId="0" fontId="16" fillId="20" borderId="13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21" borderId="13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6" fillId="2" borderId="0" xfId="2" applyFont="1" applyBorder="1" applyAlignment="1" applyProtection="1">
      <alignment wrapText="1"/>
    </xf>
    <xf numFmtId="14" fontId="6" fillId="2" borderId="0" xfId="2" applyNumberFormat="1" applyFont="1" applyBorder="1" applyAlignment="1" applyProtection="1">
      <alignment wrapText="1"/>
    </xf>
    <xf numFmtId="0" fontId="36" fillId="2" borderId="13" xfId="2" applyFont="1" applyBorder="1" applyAlignment="1">
      <alignment horizontal="center" wrapText="1"/>
    </xf>
    <xf numFmtId="0" fontId="36" fillId="2" borderId="13" xfId="2" applyFont="1" applyBorder="1" applyAlignment="1">
      <alignment wrapText="1"/>
    </xf>
    <xf numFmtId="0" fontId="29" fillId="3" borderId="13" xfId="0" applyFont="1" applyFill="1" applyBorder="1" applyAlignment="1">
      <alignment wrapText="1"/>
    </xf>
    <xf numFmtId="0" fontId="17" fillId="0" borderId="13" xfId="0" applyFont="1" applyBorder="1" applyAlignment="1">
      <alignment wrapText="1"/>
    </xf>
    <xf numFmtId="0" fontId="30" fillId="0" borderId="13" xfId="0" applyFont="1" applyBorder="1"/>
    <xf numFmtId="0" fontId="29" fillId="23" borderId="13" xfId="0" applyFont="1" applyFill="1" applyBorder="1" applyAlignment="1">
      <alignment wrapText="1"/>
    </xf>
    <xf numFmtId="0" fontId="31" fillId="23" borderId="13" xfId="0" applyFont="1" applyFill="1" applyBorder="1" applyAlignment="1">
      <alignment horizontal="center" vertical="center" wrapText="1"/>
    </xf>
    <xf numFmtId="0" fontId="29" fillId="0" borderId="13" xfId="0" applyFont="1" applyBorder="1" applyAlignment="1">
      <alignment horizontal="left" vertical="center" wrapText="1"/>
    </xf>
    <xf numFmtId="0" fontId="31" fillId="23" borderId="13" xfId="0" applyFont="1" applyFill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3" borderId="13" xfId="0" applyFont="1" applyFill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6" fillId="3" borderId="13" xfId="0" applyFont="1" applyFill="1" applyBorder="1" applyAlignment="1">
      <alignment vertical="center" wrapText="1"/>
    </xf>
    <xf numFmtId="0" fontId="17" fillId="25" borderId="13" xfId="0" applyFont="1" applyFill="1" applyBorder="1" applyAlignment="1">
      <alignment horizontal="left" vertical="center" wrapText="1"/>
    </xf>
    <xf numFmtId="0" fontId="29" fillId="25" borderId="13" xfId="0" applyFont="1" applyFill="1" applyBorder="1" applyAlignment="1">
      <alignment horizontal="left" vertical="center" wrapText="1"/>
    </xf>
    <xf numFmtId="0" fontId="31" fillId="25" borderId="13" xfId="0" applyFont="1" applyFill="1" applyBorder="1" applyAlignment="1">
      <alignment horizontal="left" vertical="center" wrapText="1"/>
    </xf>
    <xf numFmtId="0" fontId="32" fillId="23" borderId="13" xfId="0" applyFont="1" applyFill="1" applyBorder="1" applyAlignment="1">
      <alignment horizontal="left" vertical="center" wrapText="1"/>
    </xf>
    <xf numFmtId="0" fontId="29" fillId="25" borderId="13" xfId="0" applyFont="1" applyFill="1" applyBorder="1" applyAlignment="1">
      <alignment horizontal="left" vertical="center"/>
    </xf>
    <xf numFmtId="0" fontId="29" fillId="23" borderId="13" xfId="0" applyFont="1" applyFill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/>
    </xf>
    <xf numFmtId="0" fontId="14" fillId="0" borderId="13" xfId="0" applyFont="1" applyBorder="1" applyAlignment="1">
      <alignment horizontal="right"/>
    </xf>
    <xf numFmtId="0" fontId="14" fillId="7" borderId="13" xfId="0" applyFont="1" applyFill="1" applyBorder="1"/>
    <xf numFmtId="0" fontId="14" fillId="0" borderId="13" xfId="0" applyFont="1" applyBorder="1"/>
    <xf numFmtId="15" fontId="1" fillId="23" borderId="13" xfId="0" applyNumberFormat="1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left" vertical="center" wrapText="1"/>
    </xf>
    <xf numFmtId="0" fontId="33" fillId="21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2" fillId="23" borderId="13" xfId="0" applyFont="1" applyFill="1" applyBorder="1" applyAlignment="1">
      <alignment horizontal="left" vertical="center" wrapText="1"/>
    </xf>
    <xf numFmtId="0" fontId="1" fillId="23" borderId="13" xfId="0" applyFont="1" applyFill="1" applyBorder="1" applyAlignment="1">
      <alignment horizontal="left" vertical="center" wrapText="1"/>
    </xf>
    <xf numFmtId="0" fontId="28" fillId="5" borderId="13" xfId="0" applyFont="1" applyFill="1" applyBorder="1" applyAlignment="1">
      <alignment horizontal="center" wrapText="1"/>
    </xf>
    <xf numFmtId="0" fontId="28" fillId="4" borderId="13" xfId="0" applyFont="1" applyFill="1" applyBorder="1" applyAlignment="1">
      <alignment horizontal="center" wrapText="1"/>
    </xf>
    <xf numFmtId="0" fontId="31" fillId="23" borderId="13" xfId="0" applyFont="1" applyFill="1" applyBorder="1" applyAlignment="1">
      <alignment horizontal="center" vertical="center" wrapText="1"/>
    </xf>
    <xf numFmtId="0" fontId="28" fillId="5" borderId="13" xfId="0" applyFont="1" applyFill="1" applyBorder="1" applyAlignment="1">
      <alignment horizontal="left" vertical="center" wrapText="1"/>
    </xf>
    <xf numFmtId="0" fontId="28" fillId="4" borderId="13" xfId="0" applyFont="1" applyFill="1" applyBorder="1" applyAlignment="1">
      <alignment horizontal="left" vertical="center" wrapText="1"/>
    </xf>
    <xf numFmtId="0" fontId="1" fillId="24" borderId="14" xfId="0" applyFont="1" applyFill="1" applyBorder="1" applyAlignment="1">
      <alignment horizontal="center" vertical="center"/>
    </xf>
    <xf numFmtId="0" fontId="1" fillId="24" borderId="15" xfId="0" applyFont="1" applyFill="1" applyBorder="1" applyAlignment="1">
      <alignment horizontal="center" vertical="center"/>
    </xf>
    <xf numFmtId="0" fontId="1" fillId="24" borderId="16" xfId="0" applyFont="1" applyFill="1" applyBorder="1" applyAlignment="1">
      <alignment horizontal="center" vertical="center"/>
    </xf>
    <xf numFmtId="0" fontId="1" fillId="24" borderId="13" xfId="0" applyFont="1" applyFill="1" applyBorder="1" applyAlignment="1">
      <alignment horizontal="center" vertical="center"/>
    </xf>
    <xf numFmtId="0" fontId="1" fillId="24" borderId="17" xfId="0" applyFont="1" applyFill="1" applyBorder="1" applyAlignment="1">
      <alignment horizontal="center" vertical="center"/>
    </xf>
    <xf numFmtId="0" fontId="1" fillId="24" borderId="18" xfId="0" applyFont="1" applyFill="1" applyBorder="1" applyAlignment="1">
      <alignment horizontal="center" vertical="center"/>
    </xf>
    <xf numFmtId="0" fontId="1" fillId="24" borderId="19" xfId="0" applyFont="1" applyFill="1" applyBorder="1" applyAlignment="1">
      <alignment horizontal="center" vertical="center"/>
    </xf>
    <xf numFmtId="0" fontId="14" fillId="11" borderId="13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left" vertical="center" wrapText="1"/>
    </xf>
    <xf numFmtId="0" fontId="34" fillId="0" borderId="20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14" fillId="12" borderId="13" xfId="0" applyFont="1" applyFill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15" fontId="29" fillId="0" borderId="13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3">
    <cellStyle name="Excel Built-in Accent1" xfId="2" xr:uid="{00000000-0005-0000-0000-000007000000}"/>
    <cellStyle name="Hyperlink" xfId="1" builtinId="8"/>
    <cellStyle name="Normal" xfId="0" builtinId="0"/>
  </cellStyles>
  <dxfs count="26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FFFFFF"/>
      </font>
      <fill>
        <patternFill>
          <bgColor theme="9" tint="-0.249977111117893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FFFFFF"/>
      </font>
      <fill>
        <patternFill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sz val="11"/>
        <color rgb="FF000000"/>
        <name val="Aptos Narrow"/>
        <charset val="1"/>
      </font>
      <fill>
        <patternFill>
          <bgColor rgb="FFFF0000"/>
        </patternFill>
      </fill>
    </dxf>
    <dxf>
      <font>
        <sz val="11"/>
        <color rgb="FF000000"/>
        <name val="Aptos Narrow"/>
        <charset val="1"/>
      </font>
      <fill>
        <patternFill>
          <bgColor rgb="FFFFD966"/>
        </patternFill>
      </fill>
    </dxf>
    <dxf>
      <font>
        <sz val="11"/>
        <color rgb="FF000000"/>
        <name val="Aptos Narrow"/>
        <charset val="1"/>
      </font>
      <fill>
        <patternFill>
          <bgColor rgb="FFAAEEE6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FFFFFF"/>
      </font>
      <fill>
        <patternFill>
          <bgColor theme="9" tint="-0.249977111117893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FFFFFF"/>
      </font>
      <fill>
        <patternFill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F4762"/>
      </font>
      <fill>
        <patternFill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61CBF4"/>
      <rgbColor rgb="FF993366"/>
      <rgbColor rgb="FFFAE3D6"/>
      <rgbColor rgb="FFCAEEFB"/>
      <rgbColor rgb="FF660066"/>
      <rgbColor rgb="FFFF8080"/>
      <rgbColor rgb="FF145F82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AAEEE6"/>
      <rgbColor rgb="FFD1D1D1"/>
      <rgbColor rgb="FFFFE699"/>
      <rgbColor rgb="FF9DC3E6"/>
      <rgbColor rgb="FFFFB66C"/>
      <rgbColor rgb="FFF2CFEE"/>
      <rgbColor rgb="FFFFD966"/>
      <rgbColor rgb="FF3366FF"/>
      <rgbColor rgb="FF44B0E2"/>
      <rgbColor rgb="FF8ED973"/>
      <rgbColor rgb="FFFFC000"/>
      <rgbColor rgb="FFFF9900"/>
      <rgbColor rgb="FFFF6600"/>
      <rgbColor rgb="FF467886"/>
      <rgbColor rgb="FFA9D18E"/>
      <rgbColor rgb="FF0F4761"/>
      <rgbColor rgb="FF83E491"/>
      <rgbColor rgb="FF003300"/>
      <rgbColor rgb="FF333300"/>
      <rgbColor rgb="FF993300"/>
      <rgbColor rgb="FF993366"/>
      <rgbColor rgb="FF333399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0D0D0"/>
      <color rgb="FF757575"/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23"/>
  <sheetViews>
    <sheetView showGridLines="0" zoomScaleNormal="100" workbookViewId="0">
      <selection activeCell="F15" sqref="F15"/>
    </sheetView>
  </sheetViews>
  <sheetFormatPr defaultColWidth="9" defaultRowHeight="14.25"/>
  <cols>
    <col min="1" max="3" width="9" style="2"/>
    <col min="4" max="4" width="20.42578125" style="2" customWidth="1"/>
    <col min="5" max="5" width="9" style="2"/>
    <col min="6" max="6" width="21.42578125" style="2" customWidth="1"/>
    <col min="7" max="7" width="9" style="2"/>
    <col min="8" max="8" width="22.42578125" style="2" customWidth="1"/>
    <col min="9" max="9" width="9" style="2"/>
    <col min="10" max="10" width="15.7109375" style="2" customWidth="1"/>
    <col min="11" max="11" width="6.42578125" style="2" customWidth="1"/>
    <col min="12" max="12" width="16.140625" style="2" customWidth="1"/>
    <col min="13" max="13" width="9" style="2"/>
    <col min="14" max="14" width="14" style="2" customWidth="1"/>
    <col min="15" max="16384" width="9" style="2"/>
  </cols>
  <sheetData>
    <row r="1" spans="3:14" ht="15"/>
    <row r="2" spans="3:14" ht="15"/>
    <row r="3" spans="3:14" ht="15">
      <c r="E3" s="3"/>
      <c r="F3" s="4" t="s">
        <v>0</v>
      </c>
      <c r="G3" s="3"/>
      <c r="H3" s="3"/>
      <c r="I3" s="3"/>
    </row>
    <row r="4" spans="3:14" ht="15">
      <c r="K4" s="5"/>
    </row>
    <row r="5" spans="3:14" ht="15"/>
    <row r="6" spans="3:14" ht="15"/>
    <row r="7" spans="3:14" ht="15.75"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</row>
    <row r="8" spans="3:14" ht="15.75">
      <c r="C8" s="60"/>
      <c r="D8" s="61"/>
      <c r="E8" s="61"/>
      <c r="F8" s="61"/>
      <c r="G8" s="61"/>
      <c r="H8" s="61"/>
      <c r="I8" s="61"/>
      <c r="J8" s="61"/>
      <c r="K8" s="61"/>
      <c r="L8" s="61"/>
      <c r="M8" s="60"/>
      <c r="N8" s="60"/>
    </row>
    <row r="9" spans="3:14" ht="31.5" customHeight="1">
      <c r="C9" s="60"/>
      <c r="D9" s="62" t="s">
        <v>1</v>
      </c>
      <c r="E9" s="61"/>
      <c r="F9" s="63" t="s">
        <v>2</v>
      </c>
      <c r="G9" s="61"/>
      <c r="H9" s="62" t="s">
        <v>3</v>
      </c>
      <c r="I9" s="61"/>
      <c r="J9" s="61"/>
      <c r="K9" s="61"/>
      <c r="L9" s="62" t="s">
        <v>4</v>
      </c>
      <c r="M9" s="60"/>
      <c r="N9" s="64"/>
    </row>
    <row r="10" spans="3:14" ht="15.75">
      <c r="C10" s="60"/>
      <c r="D10" s="61"/>
      <c r="E10" s="61"/>
      <c r="F10" s="61"/>
      <c r="G10" s="61"/>
      <c r="H10" s="61"/>
      <c r="I10" s="61"/>
      <c r="J10" s="61"/>
      <c r="K10" s="61"/>
      <c r="L10" s="61"/>
      <c r="M10" s="60"/>
      <c r="N10" s="60"/>
    </row>
    <row r="11" spans="3:14" ht="15.75">
      <c r="C11" s="60"/>
      <c r="D11" s="61"/>
      <c r="E11" s="61"/>
      <c r="F11" s="61"/>
      <c r="G11" s="61"/>
      <c r="H11" s="61"/>
      <c r="I11" s="61"/>
      <c r="J11" s="61"/>
      <c r="K11" s="61"/>
      <c r="L11" s="61"/>
      <c r="M11" s="60"/>
      <c r="N11" s="60"/>
    </row>
    <row r="12" spans="3:14" ht="31.5" customHeight="1">
      <c r="C12" s="60"/>
      <c r="D12" s="62" t="s">
        <v>5</v>
      </c>
      <c r="E12" s="61"/>
      <c r="F12" s="62" t="s">
        <v>6</v>
      </c>
      <c r="G12" s="61"/>
      <c r="H12" s="62" t="s">
        <v>7</v>
      </c>
      <c r="I12" s="61"/>
      <c r="J12" s="61"/>
      <c r="K12" s="61"/>
      <c r="L12" s="62" t="s">
        <v>8</v>
      </c>
      <c r="M12" s="60"/>
      <c r="N12" s="60"/>
    </row>
    <row r="13" spans="3:14" ht="15.75">
      <c r="C13" s="60"/>
      <c r="D13" s="61"/>
      <c r="E13" s="61"/>
      <c r="F13" s="61"/>
      <c r="G13" s="61"/>
      <c r="H13" s="61"/>
      <c r="I13" s="61"/>
      <c r="J13" s="61"/>
      <c r="K13" s="61"/>
      <c r="L13" s="61"/>
      <c r="M13" s="60"/>
      <c r="N13" s="60"/>
    </row>
    <row r="14" spans="3:14" ht="15.75">
      <c r="C14" s="60"/>
      <c r="D14" s="61"/>
      <c r="E14" s="61"/>
      <c r="F14" s="61"/>
      <c r="G14" s="61"/>
      <c r="H14" s="61"/>
      <c r="I14" s="61"/>
      <c r="J14" s="61"/>
      <c r="K14" s="61"/>
      <c r="L14" s="61"/>
      <c r="M14" s="60"/>
      <c r="N14" s="60"/>
    </row>
    <row r="15" spans="3:14" ht="33.75" customHeight="1">
      <c r="C15" s="61"/>
      <c r="D15" s="63" t="s">
        <v>9</v>
      </c>
      <c r="E15" s="61"/>
      <c r="F15" s="65"/>
      <c r="G15" s="61"/>
      <c r="H15" s="64"/>
      <c r="I15" s="61"/>
      <c r="J15" s="61"/>
      <c r="K15" s="61"/>
      <c r="L15" s="62" t="s">
        <v>10</v>
      </c>
      <c r="M15" s="60"/>
      <c r="N15" s="60"/>
    </row>
    <row r="16" spans="3:14" ht="15.75">
      <c r="C16" s="60"/>
      <c r="D16" s="61"/>
      <c r="E16" s="61"/>
      <c r="F16" s="61"/>
      <c r="G16" s="61"/>
      <c r="H16" s="61"/>
      <c r="I16" s="61"/>
      <c r="J16" s="61"/>
      <c r="K16" s="61"/>
      <c r="L16" s="61"/>
      <c r="M16" s="60"/>
      <c r="N16" s="60"/>
    </row>
    <row r="17" spans="3:14" ht="15.75"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</row>
    <row r="18" spans="3:14" ht="15.75"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19" spans="3:14" ht="15.75"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</row>
    <row r="20" spans="3:14" ht="15.75"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</row>
    <row r="21" spans="3:14" ht="15.75"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</row>
    <row r="22" spans="3:14" ht="15.75"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</row>
    <row r="23" spans="3:14" ht="15.75"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</row>
  </sheetData>
  <hyperlinks>
    <hyperlink ref="D9" location="Epic!A1" display="Epic sheet" xr:uid="{00000000-0004-0000-0000-000000000000}"/>
    <hyperlink ref="F9" location="'WBS'!A1" display="WBS|PBI" xr:uid="{00000000-0004-0000-0000-000001000000}"/>
    <hyperlink ref="H9" location="'Sprint-Backlog'!A1" display="Sprint Backlog" xr:uid="{00000000-0004-0000-0000-000002000000}"/>
    <hyperlink ref="L9" location="'Sprint 1'!A1" display="Sprint 1" xr:uid="{00000000-0004-0000-0000-000003000000}"/>
    <hyperlink ref="D12" location="'Sprint-Capacity'!A1" display="Sprint Capacity" xr:uid="{00000000-0004-0000-0000-000004000000}"/>
    <hyperlink ref="F12" location="'Sprint-Review|Retro|Actions'!A1" display="Sprint-Review|Retro" xr:uid="{00000000-0004-0000-0000-000005000000}"/>
    <hyperlink ref="H12" location="Datasheet!A1" display="Datasheet" xr:uid="{00000000-0004-0000-0000-000006000000}"/>
    <hyperlink ref="L12" location="'Sprint 2'!A1" display="Sprint 2" xr:uid="{00000000-0004-0000-0000-000007000000}"/>
    <hyperlink ref="D15" location="'PBI'!A1" display="Product Backlog" xr:uid="{00000000-0004-0000-0000-000008000000}"/>
    <hyperlink ref="L15" location="'Sprint 3'!A1" display="Sprint 3" xr:uid="{00000000-0004-0000-0000-000009000000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4"/>
  <sheetViews>
    <sheetView showGridLines="0" zoomScaleNormal="100" workbookViewId="0">
      <selection activeCell="C5" sqref="C5"/>
    </sheetView>
  </sheetViews>
  <sheetFormatPr defaultColWidth="8.85546875" defaultRowHeight="15"/>
  <cols>
    <col min="1" max="1" width="59.140625" customWidth="1"/>
  </cols>
  <sheetData>
    <row r="1" spans="1:2" ht="21">
      <c r="A1" s="6"/>
    </row>
    <row r="2" spans="1:2" ht="15.75">
      <c r="A2" s="7"/>
    </row>
    <row r="3" spans="1:2" ht="18.75">
      <c r="A3" s="8"/>
    </row>
    <row r="4" spans="1:2" ht="15.75">
      <c r="A4" s="9"/>
    </row>
    <row r="5" spans="1:2" ht="18.75">
      <c r="A5" s="8"/>
    </row>
    <row r="6" spans="1:2" ht="15.75">
      <c r="A6" s="7"/>
      <c r="B6" s="7"/>
    </row>
    <row r="7" spans="1:2" ht="15.75">
      <c r="A7" s="7"/>
      <c r="B7" s="7"/>
    </row>
    <row r="8" spans="1:2" ht="15.75">
      <c r="A8" s="7"/>
      <c r="B8" s="7"/>
    </row>
    <row r="9" spans="1:2" ht="15.75">
      <c r="A9" s="7"/>
      <c r="B9" s="7"/>
    </row>
    <row r="10" spans="1:2" ht="15.75">
      <c r="A10" s="7"/>
      <c r="B10" s="7"/>
    </row>
    <row r="11" spans="1:2" ht="21">
      <c r="A11" s="6"/>
    </row>
    <row r="12" spans="1:2" ht="15.75">
      <c r="A12" s="7"/>
    </row>
    <row r="13" spans="1:2" ht="18.75">
      <c r="A13" s="8"/>
    </row>
    <row r="14" spans="1:2" ht="15.75">
      <c r="A14" s="9"/>
    </row>
    <row r="15" spans="1:2" ht="15.75">
      <c r="A15" s="7"/>
    </row>
    <row r="16" spans="1:2" ht="18.75">
      <c r="A16" s="8"/>
    </row>
    <row r="17" spans="1:2" ht="15.75">
      <c r="A17" s="7"/>
      <c r="B17" s="7"/>
    </row>
    <row r="18" spans="1:2" ht="15.75">
      <c r="A18" s="7"/>
      <c r="B18" s="7"/>
    </row>
    <row r="19" spans="1:2" ht="15.75">
      <c r="A19" s="7"/>
      <c r="B19" s="7"/>
    </row>
    <row r="20" spans="1:2" ht="15.75">
      <c r="A20" s="7"/>
      <c r="B20" s="7"/>
    </row>
    <row r="21" spans="1:2" ht="15.75">
      <c r="A21" s="7"/>
      <c r="B21" s="7"/>
    </row>
    <row r="22" spans="1:2" ht="15.75">
      <c r="A22" s="7"/>
    </row>
    <row r="23" spans="1:2" ht="18.75">
      <c r="A23" s="8"/>
    </row>
    <row r="24" spans="1:2" ht="15.75">
      <c r="A24" s="7"/>
    </row>
    <row r="25" spans="1:2" ht="18.75">
      <c r="A25" s="8"/>
    </row>
    <row r="26" spans="1:2" ht="15.75">
      <c r="A26" s="9"/>
    </row>
    <row r="27" spans="1:2" ht="15.75">
      <c r="A27" s="7"/>
    </row>
    <row r="28" spans="1:2" ht="18.75">
      <c r="A28" s="8"/>
    </row>
    <row r="29" spans="1:2" ht="15.75">
      <c r="A29" s="7"/>
      <c r="B29" s="7"/>
    </row>
    <row r="30" spans="1:2" ht="15.75">
      <c r="A30" s="7"/>
      <c r="B30" s="7"/>
    </row>
    <row r="31" spans="1:2" ht="15.75">
      <c r="A31" s="7"/>
      <c r="B31" s="7"/>
    </row>
    <row r="32" spans="1:2" ht="15.75">
      <c r="A32" s="7"/>
      <c r="B32" s="7"/>
    </row>
    <row r="33" spans="1:2" ht="15.75">
      <c r="A33" s="7"/>
      <c r="B33" s="7"/>
    </row>
    <row r="34" spans="1:2" ht="15.75">
      <c r="A34" s="7"/>
    </row>
    <row r="35" spans="1:2" ht="18.75">
      <c r="A35" s="8"/>
    </row>
    <row r="36" spans="1:2" ht="18.75">
      <c r="A36" s="8"/>
    </row>
    <row r="37" spans="1:2" ht="15.75">
      <c r="A37" s="9"/>
    </row>
    <row r="38" spans="1:2" ht="18.75">
      <c r="A38" s="8"/>
    </row>
    <row r="39" spans="1:2" ht="15.75">
      <c r="A39" s="7"/>
      <c r="B39" s="7"/>
    </row>
    <row r="40" spans="1:2" ht="15.75">
      <c r="A40" s="7"/>
      <c r="B40" s="7"/>
    </row>
    <row r="41" spans="1:2" ht="15.75">
      <c r="A41" s="7"/>
      <c r="B41" s="7"/>
    </row>
    <row r="42" spans="1:2" ht="15.75">
      <c r="A42" s="7"/>
      <c r="B42" s="7"/>
    </row>
    <row r="43" spans="1:2" ht="15.75">
      <c r="A43" s="7"/>
      <c r="B43" s="7"/>
    </row>
    <row r="44" spans="1:2" ht="15.75">
      <c r="A44" s="7"/>
    </row>
    <row r="45" spans="1:2" ht="15.75">
      <c r="A45" s="7"/>
    </row>
    <row r="46" spans="1:2" ht="15.75">
      <c r="A46" s="7"/>
    </row>
    <row r="47" spans="1:2" ht="18.75">
      <c r="A47" s="8"/>
    </row>
    <row r="48" spans="1:2" ht="15.75">
      <c r="A48" s="7"/>
    </row>
    <row r="49" spans="1:2" ht="18.75">
      <c r="A49" s="8"/>
    </row>
    <row r="50" spans="1:2" ht="15.75">
      <c r="A50" s="9"/>
    </row>
    <row r="51" spans="1:2" ht="18.75">
      <c r="A51" s="8"/>
    </row>
    <row r="52" spans="1:2" ht="15.75">
      <c r="A52" s="7"/>
      <c r="B52" s="7"/>
    </row>
    <row r="53" spans="1:2" ht="15.75">
      <c r="A53" s="7"/>
      <c r="B53" s="7"/>
    </row>
    <row r="54" spans="1:2" ht="15.75">
      <c r="A54" s="7"/>
      <c r="B54" s="7"/>
    </row>
    <row r="55" spans="1:2" ht="15.75">
      <c r="A55" s="7"/>
      <c r="B55" s="7"/>
    </row>
    <row r="56" spans="1:2" ht="15.75">
      <c r="A56" s="7"/>
      <c r="B56" s="7"/>
    </row>
    <row r="57" spans="1:2" ht="15.75">
      <c r="A57" s="7"/>
      <c r="B57" s="7"/>
    </row>
    <row r="58" spans="1:2" ht="15.75">
      <c r="A58" s="7"/>
      <c r="B58" s="7"/>
    </row>
    <row r="59" spans="1:2" ht="18.75">
      <c r="A59" s="10"/>
    </row>
    <row r="60" spans="1:2" ht="18.75">
      <c r="A60" s="8"/>
    </row>
    <row r="61" spans="1:2" ht="15.75">
      <c r="A61" s="7"/>
    </row>
    <row r="62" spans="1:2" ht="18.75">
      <c r="A62" s="8"/>
    </row>
    <row r="63" spans="1:2" ht="15.75">
      <c r="A63" s="9"/>
    </row>
    <row r="64" spans="1:2" ht="18.75">
      <c r="A64" s="8"/>
    </row>
    <row r="65" spans="1:2" ht="15.75">
      <c r="A65" s="7"/>
      <c r="B65" s="9"/>
    </row>
    <row r="66" spans="1:2" ht="15.75">
      <c r="A66" s="7"/>
      <c r="B66" s="7"/>
    </row>
    <row r="67" spans="1:2" ht="15.75">
      <c r="A67" s="7"/>
      <c r="B67" s="7"/>
    </row>
    <row r="68" spans="1:2" ht="15.75">
      <c r="A68" s="7"/>
      <c r="B68" s="7"/>
    </row>
    <row r="69" spans="1:2" ht="15.75">
      <c r="A69" s="7"/>
      <c r="B69" s="7"/>
    </row>
    <row r="70" spans="1:2" ht="15.75">
      <c r="A70" s="7"/>
      <c r="B70" s="7"/>
    </row>
    <row r="71" spans="1:2" ht="15.75">
      <c r="A71" s="7"/>
      <c r="B71" s="9"/>
    </row>
    <row r="72" spans="1:2" ht="15.75">
      <c r="A72" s="7"/>
      <c r="B72" s="7"/>
    </row>
    <row r="73" spans="1:2" ht="15.75">
      <c r="A73" s="7"/>
      <c r="B73" s="7"/>
    </row>
    <row r="74" spans="1:2" ht="15.75">
      <c r="A74" s="7"/>
      <c r="B74" s="9"/>
    </row>
    <row r="75" spans="1:2" ht="15.75">
      <c r="A75" s="7"/>
      <c r="B75" s="7"/>
    </row>
    <row r="76" spans="1:2" ht="15.75">
      <c r="A76" s="7"/>
      <c r="B76" s="7"/>
    </row>
    <row r="77" spans="1:2" ht="15.75">
      <c r="A77" s="7"/>
      <c r="B77" s="7"/>
    </row>
    <row r="78" spans="1:2" ht="15.75">
      <c r="A78" s="7"/>
    </row>
    <row r="79" spans="1:2" ht="18.75">
      <c r="A79" s="8"/>
    </row>
    <row r="80" spans="1:2" ht="15.75">
      <c r="A80" s="9"/>
    </row>
    <row r="81" spans="1:1" ht="15.75">
      <c r="A81" s="7"/>
    </row>
    <row r="82" spans="1:1" ht="18.75">
      <c r="A82" s="8"/>
    </row>
    <row r="83" spans="1:1" ht="15.75">
      <c r="A83" s="11"/>
    </row>
    <row r="84" spans="1:1" ht="15.75">
      <c r="A84" s="7"/>
    </row>
    <row r="85" spans="1:1" ht="15.75">
      <c r="A85" s="7"/>
    </row>
    <row r="86" spans="1:1" ht="15.75">
      <c r="A86" s="7"/>
    </row>
    <row r="87" spans="1:1" ht="15.75">
      <c r="A87" s="11"/>
    </row>
    <row r="88" spans="1:1" ht="15.75">
      <c r="A88" s="7"/>
    </row>
    <row r="89" spans="1:1" ht="15.75">
      <c r="A89" s="7"/>
    </row>
    <row r="90" spans="1:1" ht="15.75">
      <c r="A90" s="7"/>
    </row>
    <row r="91" spans="1:1" ht="15.75">
      <c r="A91" s="7"/>
    </row>
    <row r="92" spans="1:1" ht="15.75">
      <c r="A92" s="7"/>
    </row>
    <row r="93" spans="1:1" ht="15.75">
      <c r="A93" s="11"/>
    </row>
    <row r="94" spans="1:1" ht="15.75">
      <c r="A94" s="7"/>
    </row>
    <row r="95" spans="1:1" ht="15.75">
      <c r="A95" s="7"/>
    </row>
    <row r="96" spans="1:1" ht="15.75">
      <c r="A96" s="7"/>
    </row>
    <row r="97" spans="1:2" ht="15.75">
      <c r="A97" s="7"/>
    </row>
    <row r="98" spans="1:2" ht="15.75">
      <c r="A98" s="7"/>
    </row>
    <row r="99" spans="1:2" ht="18.75">
      <c r="A99" s="8"/>
    </row>
    <row r="100" spans="1:2" ht="18.75">
      <c r="A100" s="8"/>
    </row>
    <row r="101" spans="1:2" ht="15.75">
      <c r="A101" s="9"/>
    </row>
    <row r="102" spans="1:2" ht="18.75">
      <c r="A102" s="8"/>
    </row>
    <row r="103" spans="1:2" ht="15.75">
      <c r="A103" s="7"/>
      <c r="B103" s="7"/>
    </row>
    <row r="104" spans="1:2" ht="15.75">
      <c r="A104" s="7"/>
      <c r="B104" s="7"/>
    </row>
    <row r="105" spans="1:2" ht="15.75">
      <c r="A105" s="7"/>
      <c r="B105" s="9"/>
    </row>
    <row r="106" spans="1:2" ht="15.75">
      <c r="A106" s="7"/>
      <c r="B106" s="7"/>
    </row>
    <row r="107" spans="1:2" ht="15.75">
      <c r="A107" s="7"/>
      <c r="B107" s="7"/>
    </row>
    <row r="108" spans="1:2" ht="15.75">
      <c r="A108" s="7"/>
      <c r="B108" s="9"/>
    </row>
    <row r="109" spans="1:2" ht="15.75">
      <c r="A109" s="7"/>
      <c r="B109" s="7"/>
    </row>
    <row r="110" spans="1:2" ht="15.75">
      <c r="A110" s="7"/>
      <c r="B110" s="7"/>
    </row>
    <row r="111" spans="1:2" ht="15.75">
      <c r="A111" s="7"/>
      <c r="B111" s="7"/>
    </row>
    <row r="112" spans="1:2" ht="15.75">
      <c r="A112" s="7"/>
      <c r="B112" s="7"/>
    </row>
    <row r="113" spans="1:2" ht="15.75">
      <c r="A113" s="7"/>
      <c r="B113" s="7"/>
    </row>
    <row r="114" spans="1:2" ht="15.75">
      <c r="A114" s="7"/>
      <c r="B114" s="7"/>
    </row>
    <row r="115" spans="1:2" ht="15.75">
      <c r="A115" s="7"/>
    </row>
    <row r="116" spans="1:2" ht="18.75">
      <c r="A116" s="8"/>
    </row>
    <row r="117" spans="1:2" ht="18.75">
      <c r="A117" s="8"/>
    </row>
    <row r="118" spans="1:2" ht="15.75">
      <c r="A118" s="9"/>
    </row>
    <row r="119" spans="1:2" ht="18.75">
      <c r="A119" s="8"/>
    </row>
    <row r="120" spans="1:2" ht="15.75">
      <c r="A120" s="7"/>
      <c r="B120" s="7"/>
    </row>
    <row r="121" spans="1:2" ht="15.75">
      <c r="A121" s="7"/>
      <c r="B121" s="7"/>
    </row>
    <row r="122" spans="1:2" ht="15.75">
      <c r="A122" s="7"/>
      <c r="B122" s="7"/>
    </row>
    <row r="123" spans="1:2" ht="15.75">
      <c r="A123" s="7"/>
      <c r="B123" s="7"/>
    </row>
    <row r="124" spans="1:2" ht="15.75">
      <c r="A124" s="7"/>
      <c r="B124" s="7"/>
    </row>
    <row r="125" spans="1:2" ht="15.75">
      <c r="A125" s="7"/>
      <c r="B125" s="7"/>
    </row>
    <row r="126" spans="1:2" ht="15.75">
      <c r="A126" s="7"/>
      <c r="B126" s="7"/>
    </row>
    <row r="127" spans="1:2" ht="15.75">
      <c r="A127" s="7"/>
      <c r="B127" s="7"/>
    </row>
    <row r="128" spans="1:2" ht="15.75">
      <c r="A128" s="7"/>
      <c r="B128" s="7"/>
    </row>
    <row r="129" spans="1:2" ht="15.75">
      <c r="A129" s="7"/>
      <c r="B129" s="7"/>
    </row>
    <row r="130" spans="1:2" ht="15.75">
      <c r="A130" s="7"/>
      <c r="B130" s="7"/>
    </row>
    <row r="131" spans="1:2" ht="18.75">
      <c r="A131" s="8"/>
    </row>
    <row r="132" spans="1:2" ht="18.75">
      <c r="A132" s="8"/>
    </row>
    <row r="133" spans="1:2" ht="15.75">
      <c r="A133" s="9"/>
    </row>
    <row r="134" spans="1:2" ht="15.75">
      <c r="A134" s="9"/>
    </row>
    <row r="135" spans="1:2" ht="18.75">
      <c r="A135" s="8"/>
    </row>
    <row r="136" spans="1:2" ht="15.75">
      <c r="A136" s="7"/>
      <c r="B136" s="7"/>
    </row>
    <row r="137" spans="1:2" ht="15.75">
      <c r="A137" s="7"/>
      <c r="B137" s="7"/>
    </row>
    <row r="138" spans="1:2" ht="15.75">
      <c r="A138" s="7"/>
      <c r="B138" s="7"/>
    </row>
    <row r="139" spans="1:2" ht="15.75">
      <c r="A139" s="7"/>
      <c r="B139" s="7"/>
    </row>
    <row r="140" spans="1:2" ht="15.75">
      <c r="A140" s="7"/>
      <c r="B140" s="7"/>
    </row>
    <row r="141" spans="1:2" ht="15.75">
      <c r="A141" s="7"/>
      <c r="B141" s="7"/>
    </row>
    <row r="142" spans="1:2" ht="15.75">
      <c r="A142" s="7"/>
      <c r="B142" s="7"/>
    </row>
    <row r="143" spans="1:2" ht="15.75">
      <c r="A143" s="7"/>
      <c r="B143" s="7"/>
    </row>
    <row r="144" spans="1:2" ht="15.75">
      <c r="A144" s="7"/>
      <c r="B144" s="7"/>
    </row>
    <row r="145" spans="1:2" ht="15.75">
      <c r="A145" s="7"/>
      <c r="B145" s="7"/>
    </row>
    <row r="146" spans="1:2" ht="15.75">
      <c r="A146" s="7"/>
      <c r="B146" s="7"/>
    </row>
    <row r="147" spans="1:2" ht="15.75">
      <c r="A147" s="7"/>
      <c r="B147" s="7"/>
    </row>
    <row r="148" spans="1:2" ht="15.75">
      <c r="A148" s="7"/>
      <c r="B148" s="7"/>
    </row>
    <row r="149" spans="1:2" ht="18.75">
      <c r="A149" s="10"/>
    </row>
    <row r="150" spans="1:2" ht="18.75">
      <c r="A150" s="8"/>
    </row>
    <row r="151" spans="1:2" ht="18.75">
      <c r="A151" s="8"/>
    </row>
    <row r="152" spans="1:2" ht="15.75">
      <c r="A152" s="9"/>
    </row>
    <row r="153" spans="1:2" ht="15.75">
      <c r="A153" s="9"/>
    </row>
    <row r="154" spans="1:2" ht="18.75">
      <c r="A154" s="8"/>
    </row>
    <row r="155" spans="1:2" ht="15.75">
      <c r="A155" s="7"/>
      <c r="B155" s="7"/>
    </row>
    <row r="156" spans="1:2" ht="15.75">
      <c r="A156" s="7"/>
      <c r="B156" s="7"/>
    </row>
    <row r="157" spans="1:2" ht="15.75">
      <c r="A157" s="7"/>
      <c r="B157" s="7"/>
    </row>
    <row r="158" spans="1:2" ht="15.75">
      <c r="A158" s="7"/>
      <c r="B158" s="9"/>
    </row>
    <row r="159" spans="1:2" ht="15.75">
      <c r="A159" s="7"/>
      <c r="B159" s="9"/>
    </row>
    <row r="160" spans="1:2" ht="15.75">
      <c r="A160" s="7"/>
      <c r="B160" s="9"/>
    </row>
    <row r="161" spans="1:2" ht="15.75">
      <c r="A161" s="7"/>
      <c r="B161" s="9"/>
    </row>
    <row r="162" spans="1:2" ht="15.75">
      <c r="A162" s="7"/>
      <c r="B162" s="9"/>
    </row>
    <row r="163" spans="1:2" ht="15.75">
      <c r="A163" s="7"/>
      <c r="B163" s="9"/>
    </row>
    <row r="164" spans="1:2" ht="15.75">
      <c r="A164" s="7"/>
      <c r="B164" s="9"/>
    </row>
    <row r="165" spans="1:2" ht="15.75">
      <c r="A165" s="7"/>
      <c r="B165" s="9"/>
    </row>
    <row r="166" spans="1:2" ht="15.75">
      <c r="A166" s="7"/>
      <c r="B166" s="7"/>
    </row>
    <row r="167" spans="1:2" ht="15.75">
      <c r="A167" s="7"/>
      <c r="B167" s="12"/>
    </row>
    <row r="168" spans="1:2" ht="15.75">
      <c r="A168" s="7"/>
      <c r="B168" s="7"/>
    </row>
    <row r="169" spans="1:2" ht="15.75">
      <c r="A169" s="7"/>
      <c r="B169" s="7"/>
    </row>
    <row r="170" spans="1:2" ht="15.75">
      <c r="A170" s="7"/>
    </row>
    <row r="171" spans="1:2" ht="18.75">
      <c r="A171" s="8"/>
    </row>
    <row r="172" spans="1:2" ht="18.75">
      <c r="A172" s="8"/>
    </row>
    <row r="173" spans="1:2" ht="15.75">
      <c r="A173" s="9"/>
    </row>
    <row r="174" spans="1:2" ht="18.75">
      <c r="A174" s="8"/>
    </row>
    <row r="175" spans="1:2" ht="15.75">
      <c r="A175" s="7"/>
      <c r="B175" s="7"/>
    </row>
    <row r="176" spans="1:2" ht="15.75">
      <c r="A176" s="7"/>
      <c r="B176" s="7"/>
    </row>
    <row r="177" spans="1:2" ht="15.75">
      <c r="A177" s="7"/>
      <c r="B177" s="7"/>
    </row>
    <row r="178" spans="1:2" ht="15.75">
      <c r="A178" s="7"/>
      <c r="B178" s="7"/>
    </row>
    <row r="179" spans="1:2" ht="15.75">
      <c r="A179" s="7"/>
      <c r="B179" s="7"/>
    </row>
    <row r="180" spans="1:2" ht="15.75">
      <c r="A180" s="7"/>
      <c r="B180" s="7"/>
    </row>
    <row r="181" spans="1:2" ht="15.75">
      <c r="A181" s="7"/>
      <c r="B181" s="7"/>
    </row>
    <row r="182" spans="1:2" ht="15.75">
      <c r="A182" s="7"/>
      <c r="B182" s="7"/>
    </row>
    <row r="183" spans="1:2" ht="15.75">
      <c r="A183" s="7"/>
      <c r="B183" s="7"/>
    </row>
    <row r="184" spans="1:2" ht="15.75">
      <c r="A184" s="7"/>
      <c r="B184" s="7"/>
    </row>
    <row r="185" spans="1:2" ht="15.75">
      <c r="A185" s="7"/>
      <c r="B185" s="7"/>
    </row>
    <row r="186" spans="1:2" ht="15.75">
      <c r="A186" s="7"/>
      <c r="B186" s="7"/>
    </row>
    <row r="187" spans="1:2" ht="15.75">
      <c r="A187" s="7"/>
      <c r="B187" s="7"/>
    </row>
    <row r="188" spans="1:2" ht="15.75">
      <c r="A188" s="7"/>
      <c r="B188" s="7"/>
    </row>
    <row r="189" spans="1:2" ht="15.75">
      <c r="A189" s="7"/>
      <c r="B189" s="7"/>
    </row>
    <row r="190" spans="1:2" ht="15.75">
      <c r="A190" s="7"/>
      <c r="B190" s="7"/>
    </row>
    <row r="191" spans="1:2" ht="15.75">
      <c r="A191" s="7"/>
      <c r="B191" s="7"/>
    </row>
    <row r="192" spans="1:2" ht="15.75">
      <c r="A192" s="7"/>
      <c r="B192" s="7"/>
    </row>
    <row r="193" spans="1:2" ht="15.75">
      <c r="A193" s="7"/>
    </row>
    <row r="194" spans="1:2" ht="18.75">
      <c r="A194" s="8"/>
    </row>
    <row r="195" spans="1:2" ht="15.75">
      <c r="A195" s="7"/>
    </row>
    <row r="196" spans="1:2" ht="15.75">
      <c r="A196" s="9"/>
    </row>
    <row r="197" spans="1:2" ht="15.75">
      <c r="A197" s="7"/>
    </row>
    <row r="198" spans="1:2" ht="15.75">
      <c r="A198" s="9"/>
    </row>
    <row r="199" spans="1:2" ht="15.75">
      <c r="A199" s="7"/>
    </row>
    <row r="200" spans="1:2" ht="21">
      <c r="A200" s="6"/>
    </row>
    <row r="201" spans="1:2" ht="15.75">
      <c r="A201" s="7"/>
      <c r="B201" s="7"/>
    </row>
    <row r="202" spans="1:2" ht="15.75">
      <c r="A202" s="7"/>
      <c r="B202" s="7"/>
    </row>
    <row r="203" spans="1:2" ht="15.75">
      <c r="A203" s="7"/>
      <c r="B203" s="7"/>
    </row>
    <row r="204" spans="1:2" ht="15.75">
      <c r="A204" s="7"/>
      <c r="B204" s="7"/>
    </row>
    <row r="205" spans="1:2" ht="15.75">
      <c r="A205" s="7"/>
      <c r="B205" s="7"/>
    </row>
    <row r="206" spans="1:2" ht="15.75">
      <c r="A206" s="7"/>
      <c r="B206" s="7"/>
    </row>
    <row r="207" spans="1:2" ht="15.75">
      <c r="A207" s="7"/>
      <c r="B207" s="7"/>
    </row>
    <row r="208" spans="1:2" ht="15.75">
      <c r="A208" s="7"/>
      <c r="B208" s="7"/>
    </row>
    <row r="209" spans="1:2" ht="15.75">
      <c r="A209" s="7"/>
      <c r="B209" s="7"/>
    </row>
    <row r="210" spans="1:2" ht="15.75">
      <c r="A210" s="7"/>
    </row>
    <row r="211" spans="1:2" ht="18.75">
      <c r="A211" s="8"/>
    </row>
    <row r="212" spans="1:2" ht="15.75">
      <c r="A212" s="7"/>
    </row>
    <row r="213" spans="1:2" ht="15.75">
      <c r="A213" s="9"/>
    </row>
    <row r="214" spans="1:2" ht="15.75">
      <c r="A214" s="7"/>
    </row>
    <row r="215" spans="1:2" ht="15.75">
      <c r="A215" s="7"/>
    </row>
    <row r="216" spans="1:2" ht="15.75">
      <c r="A216" s="7"/>
    </row>
    <row r="217" spans="1:2" ht="18.75">
      <c r="A217" s="8"/>
    </row>
    <row r="218" spans="1:2" ht="15.75">
      <c r="A218" s="7"/>
      <c r="B218" s="9"/>
    </row>
    <row r="219" spans="1:2" ht="15.75">
      <c r="A219" s="7"/>
      <c r="B219" s="7"/>
    </row>
    <row r="220" spans="1:2" ht="15.75">
      <c r="A220" s="7"/>
      <c r="B220" s="7"/>
    </row>
    <row r="221" spans="1:2" ht="15.75">
      <c r="A221" s="7"/>
      <c r="B221" s="7"/>
    </row>
    <row r="222" spans="1:2" ht="15.75">
      <c r="A222" s="7"/>
      <c r="B222" s="7"/>
    </row>
    <row r="223" spans="1:2" ht="15.75">
      <c r="A223" s="7"/>
      <c r="B223" s="7"/>
    </row>
    <row r="224" spans="1:2" ht="15.75">
      <c r="A224" s="7"/>
      <c r="B224" s="7"/>
    </row>
    <row r="225" spans="1:2" ht="15.75">
      <c r="A225" s="7"/>
      <c r="B225" s="7"/>
    </row>
    <row r="226" spans="1:2" ht="15.75">
      <c r="A226" s="7"/>
      <c r="B226" s="7"/>
    </row>
    <row r="227" spans="1:2" ht="15.75">
      <c r="A227" s="7"/>
      <c r="B227" s="9"/>
    </row>
    <row r="228" spans="1:2" ht="15.75">
      <c r="A228" s="7"/>
      <c r="B228" s="7"/>
    </row>
    <row r="229" spans="1:2" ht="15.75">
      <c r="A229" s="7"/>
      <c r="B229" s="7"/>
    </row>
    <row r="230" spans="1:2" ht="15.75">
      <c r="A230" s="7"/>
      <c r="B230" s="9"/>
    </row>
    <row r="231" spans="1:2" ht="15.75">
      <c r="A231" s="7"/>
      <c r="B231" s="7"/>
    </row>
    <row r="232" spans="1:2" ht="15.75">
      <c r="A232" s="7"/>
      <c r="B232" s="7"/>
    </row>
    <row r="233" spans="1:2" ht="15.75">
      <c r="A233" s="7"/>
      <c r="B233" s="9"/>
    </row>
    <row r="234" spans="1:2" ht="15.75">
      <c r="A234" s="7"/>
      <c r="B234" s="7"/>
    </row>
    <row r="235" spans="1:2" ht="15.75">
      <c r="A235" s="7"/>
      <c r="B235" s="7"/>
    </row>
    <row r="236" spans="1:2" ht="18.75">
      <c r="A236" s="8"/>
    </row>
    <row r="237" spans="1:2" ht="15.75">
      <c r="A237" s="7"/>
    </row>
    <row r="238" spans="1:2" ht="15.75">
      <c r="A238" s="7"/>
    </row>
    <row r="239" spans="1:2" ht="15.75">
      <c r="A239" s="7"/>
    </row>
    <row r="240" spans="1:2" ht="15.75">
      <c r="A240" s="7"/>
    </row>
    <row r="241" spans="1:2" ht="18.75">
      <c r="A241" s="8"/>
    </row>
    <row r="242" spans="1:2" ht="15.75">
      <c r="A242" s="7"/>
    </row>
    <row r="243" spans="1:2" ht="15.75">
      <c r="A243" s="9"/>
    </row>
    <row r="244" spans="1:2" ht="15.75">
      <c r="A244" s="7"/>
    </row>
    <row r="245" spans="1:2" ht="15.75">
      <c r="A245" s="7"/>
    </row>
    <row r="246" spans="1:2" ht="15.75">
      <c r="A246" s="7"/>
    </row>
    <row r="247" spans="1:2" ht="15.75">
      <c r="A247" s="7"/>
    </row>
    <row r="248" spans="1:2" ht="15.75">
      <c r="A248" s="7"/>
    </row>
    <row r="249" spans="1:2" ht="18.75">
      <c r="A249" s="8"/>
    </row>
    <row r="250" spans="1:2" ht="15.75">
      <c r="A250" s="7"/>
      <c r="B250" s="9"/>
    </row>
    <row r="251" spans="1:2" ht="15.75">
      <c r="A251" s="7"/>
      <c r="B251" s="7"/>
    </row>
    <row r="252" spans="1:2" ht="15.75">
      <c r="A252" s="7"/>
      <c r="B252" s="7"/>
    </row>
    <row r="253" spans="1:2" ht="15.75">
      <c r="A253" s="7"/>
      <c r="B253" s="9"/>
    </row>
    <row r="254" spans="1:2" ht="15.75">
      <c r="A254" s="7"/>
      <c r="B254" s="7"/>
    </row>
    <row r="255" spans="1:2" ht="15.75">
      <c r="A255" s="7"/>
      <c r="B255" s="7"/>
    </row>
    <row r="256" spans="1:2" ht="15.75">
      <c r="A256" s="7"/>
      <c r="B256" s="7"/>
    </row>
    <row r="257" spans="1:2" ht="15.75">
      <c r="A257" s="7"/>
      <c r="B257" s="9"/>
    </row>
    <row r="258" spans="1:2" ht="15.75">
      <c r="A258" s="7"/>
      <c r="B258" s="7"/>
    </row>
    <row r="259" spans="1:2" ht="15.75">
      <c r="A259" s="7"/>
      <c r="B259" s="9"/>
    </row>
    <row r="260" spans="1:2" ht="15.75">
      <c r="A260" s="7"/>
      <c r="B260" s="7"/>
    </row>
    <row r="261" spans="1:2" ht="15.75">
      <c r="A261" s="7"/>
      <c r="B261" s="7"/>
    </row>
    <row r="262" spans="1:2" ht="15.75">
      <c r="A262" s="7"/>
      <c r="B262" s="7"/>
    </row>
    <row r="263" spans="1:2" ht="15.75">
      <c r="A263" s="7"/>
      <c r="B263" s="9"/>
    </row>
    <row r="264" spans="1:2" ht="15.75">
      <c r="A264" s="7"/>
      <c r="B264" s="7"/>
    </row>
    <row r="265" spans="1:2" ht="15.75">
      <c r="A265" s="7"/>
      <c r="B265" s="7"/>
    </row>
    <row r="266" spans="1:2" ht="15.75">
      <c r="A266" s="7"/>
      <c r="B266" s="9"/>
    </row>
    <row r="267" spans="1:2" ht="15.75">
      <c r="A267" s="7"/>
      <c r="B267" s="7"/>
    </row>
    <row r="268" spans="1:2" ht="15.75">
      <c r="A268" s="7"/>
      <c r="B268" s="7"/>
    </row>
    <row r="269" spans="1:2" ht="18.75">
      <c r="A269" s="8"/>
    </row>
    <row r="270" spans="1:2" ht="15.75">
      <c r="A270" s="7"/>
    </row>
    <row r="271" spans="1:2" ht="15.75">
      <c r="A271" s="7"/>
    </row>
    <row r="272" spans="1:2" ht="15.75">
      <c r="A272" s="7"/>
    </row>
    <row r="273" spans="1:2" ht="15.75">
      <c r="A273" s="7"/>
    </row>
    <row r="274" spans="1:2" ht="18.75">
      <c r="A274" s="8"/>
    </row>
    <row r="275" spans="1:2" ht="15.75">
      <c r="A275" s="7"/>
    </row>
    <row r="276" spans="1:2" ht="15.75">
      <c r="A276" s="9"/>
    </row>
    <row r="277" spans="1:2" ht="15.75">
      <c r="A277" s="7"/>
    </row>
    <row r="278" spans="1:2" ht="15.75">
      <c r="A278" s="7"/>
    </row>
    <row r="279" spans="1:2" ht="15.75">
      <c r="A279" s="7"/>
    </row>
    <row r="280" spans="1:2" ht="18.75">
      <c r="A280" s="8"/>
    </row>
    <row r="281" spans="1:2" ht="15.75">
      <c r="A281" s="7"/>
      <c r="B281" s="9"/>
    </row>
    <row r="282" spans="1:2" ht="15.75">
      <c r="A282" s="7"/>
      <c r="B282" s="7"/>
    </row>
    <row r="283" spans="1:2" ht="15.75">
      <c r="A283" s="7"/>
      <c r="B283" s="9"/>
    </row>
    <row r="284" spans="1:2" ht="15.75">
      <c r="A284" s="7"/>
      <c r="B284" s="7"/>
    </row>
    <row r="285" spans="1:2" ht="15.75">
      <c r="A285" s="7"/>
      <c r="B285" s="7"/>
    </row>
    <row r="286" spans="1:2" ht="15.75">
      <c r="A286" s="7"/>
      <c r="B286" s="9"/>
    </row>
    <row r="287" spans="1:2" ht="15.75">
      <c r="A287" s="7"/>
      <c r="B287" s="7"/>
    </row>
    <row r="288" spans="1:2" ht="15.75">
      <c r="A288" s="7"/>
      <c r="B288" s="7"/>
    </row>
    <row r="289" spans="1:2" ht="15.75">
      <c r="A289" s="7"/>
      <c r="B289" s="7"/>
    </row>
    <row r="290" spans="1:2" ht="15.75">
      <c r="A290" s="7"/>
      <c r="B290" s="9"/>
    </row>
    <row r="291" spans="1:2" ht="15.75">
      <c r="A291" s="7"/>
      <c r="B291" s="7"/>
    </row>
    <row r="292" spans="1:2" ht="15.75">
      <c r="A292" s="7"/>
      <c r="B292" s="7"/>
    </row>
    <row r="293" spans="1:2" ht="15.75">
      <c r="A293" s="7"/>
      <c r="B293" s="9"/>
    </row>
    <row r="294" spans="1:2" ht="15.75">
      <c r="A294" s="7"/>
      <c r="B294" s="7"/>
    </row>
    <row r="295" spans="1:2" ht="15.75">
      <c r="A295" s="7"/>
      <c r="B295" s="7"/>
    </row>
    <row r="296" spans="1:2" ht="15.75">
      <c r="A296" s="7"/>
      <c r="B296" s="9"/>
    </row>
    <row r="297" spans="1:2" ht="15.75">
      <c r="A297" s="7"/>
      <c r="B297" s="7"/>
    </row>
    <row r="298" spans="1:2" ht="15.75">
      <c r="A298" s="7"/>
      <c r="B298" s="7"/>
    </row>
    <row r="299" spans="1:2" ht="15.75">
      <c r="A299" s="7"/>
    </row>
    <row r="300" spans="1:2" ht="18.75">
      <c r="A300" s="8"/>
    </row>
    <row r="301" spans="1:2" ht="15.75">
      <c r="A301" s="7"/>
    </row>
    <row r="302" spans="1:2" ht="15.75">
      <c r="A302" s="9"/>
    </row>
    <row r="303" spans="1:2" ht="15.75">
      <c r="A303" s="7"/>
    </row>
    <row r="304" spans="1:2" ht="15.75">
      <c r="A304" s="7"/>
    </row>
    <row r="305" spans="1:2" ht="15.75">
      <c r="A305" s="7"/>
    </row>
    <row r="306" spans="1:2" ht="18.75">
      <c r="A306" s="8"/>
    </row>
    <row r="307" spans="1:2" ht="15.75">
      <c r="A307" s="7"/>
      <c r="B307" s="9"/>
    </row>
    <row r="308" spans="1:2" ht="15.75">
      <c r="A308" s="7"/>
      <c r="B308" s="7"/>
    </row>
    <row r="309" spans="1:2" ht="15.75">
      <c r="A309" s="7"/>
      <c r="B309" s="7"/>
    </row>
    <row r="310" spans="1:2" ht="15.75">
      <c r="A310" s="7"/>
      <c r="B310" s="9"/>
    </row>
    <row r="311" spans="1:2" ht="15.75">
      <c r="A311" s="7"/>
      <c r="B311" s="7"/>
    </row>
    <row r="312" spans="1:2" ht="15.75">
      <c r="A312" s="7"/>
      <c r="B312" s="7"/>
    </row>
    <row r="313" spans="1:2" ht="15.75">
      <c r="A313" s="7"/>
      <c r="B313" s="7"/>
    </row>
    <row r="314" spans="1:2" ht="15.75">
      <c r="A314" s="7"/>
      <c r="B314" s="7"/>
    </row>
    <row r="315" spans="1:2" ht="15.75">
      <c r="A315" s="7"/>
      <c r="B315" s="7"/>
    </row>
    <row r="316" spans="1:2" ht="15.75">
      <c r="A316" s="7"/>
      <c r="B316" s="7"/>
    </row>
    <row r="317" spans="1:2" ht="15.75">
      <c r="A317" s="7"/>
      <c r="B317" s="7"/>
    </row>
    <row r="318" spans="1:2" ht="15.75">
      <c r="A318" s="7"/>
      <c r="B318" s="7"/>
    </row>
    <row r="319" spans="1:2" ht="15.75">
      <c r="A319" s="7"/>
      <c r="B319" s="9"/>
    </row>
    <row r="320" spans="1:2" ht="15.75">
      <c r="A320" s="7"/>
      <c r="B320" s="7"/>
    </row>
    <row r="321" spans="1:2" ht="15.75">
      <c r="A321" s="7"/>
      <c r="B321" s="7"/>
    </row>
    <row r="322" spans="1:2" ht="15.75">
      <c r="A322" s="7"/>
      <c r="B322" s="7"/>
    </row>
    <row r="323" spans="1:2" ht="15.75">
      <c r="A323" s="7"/>
      <c r="B323" s="7"/>
    </row>
    <row r="324" spans="1:2" ht="15.75">
      <c r="A324" s="7"/>
      <c r="B324" s="9"/>
    </row>
    <row r="325" spans="1:2" ht="15.75">
      <c r="A325" s="7"/>
      <c r="B325" s="7"/>
    </row>
    <row r="326" spans="1:2" ht="15.75">
      <c r="A326" s="7"/>
      <c r="B326" s="7"/>
    </row>
    <row r="327" spans="1:2" ht="15.75">
      <c r="A327" s="7"/>
      <c r="B327" s="7"/>
    </row>
    <row r="328" spans="1:2" ht="15.75">
      <c r="A328" s="7"/>
      <c r="B328" s="9"/>
    </row>
    <row r="329" spans="1:2" ht="15.75">
      <c r="A329" s="7"/>
      <c r="B329" s="7"/>
    </row>
    <row r="330" spans="1:2" ht="15.75">
      <c r="A330" s="7"/>
      <c r="B330" s="7"/>
    </row>
    <row r="331" spans="1:2" ht="15.75">
      <c r="A331" s="7"/>
    </row>
    <row r="332" spans="1:2" ht="18.75">
      <c r="A332" s="8"/>
    </row>
    <row r="333" spans="1:2" ht="15.75">
      <c r="A333" s="7"/>
    </row>
    <row r="334" spans="1:2" ht="15.75">
      <c r="A334" s="9"/>
    </row>
    <row r="335" spans="1:2" ht="15.75">
      <c r="A335" s="7"/>
    </row>
    <row r="336" spans="1:2" ht="15.75">
      <c r="A336" s="7"/>
    </row>
    <row r="337" spans="1:2" ht="15.75">
      <c r="A337" s="7"/>
    </row>
    <row r="338" spans="1:2" ht="15.75">
      <c r="A338" s="7"/>
    </row>
    <row r="339" spans="1:2" ht="18.75">
      <c r="A339" s="8"/>
    </row>
    <row r="340" spans="1:2" ht="15.75">
      <c r="A340" s="7"/>
      <c r="B340" s="9"/>
    </row>
    <row r="341" spans="1:2" ht="15.75">
      <c r="A341" s="7"/>
      <c r="B341" s="7"/>
    </row>
    <row r="342" spans="1:2" ht="15.75">
      <c r="A342" s="7"/>
      <c r="B342" s="7"/>
    </row>
    <row r="343" spans="1:2" ht="15.75">
      <c r="A343" s="7"/>
      <c r="B343" s="7"/>
    </row>
    <row r="344" spans="1:2" ht="15.75">
      <c r="A344" s="7"/>
      <c r="B344" s="7"/>
    </row>
    <row r="345" spans="1:2" ht="15.75">
      <c r="A345" s="7"/>
      <c r="B345" s="7"/>
    </row>
    <row r="346" spans="1:2" ht="15.75">
      <c r="A346" s="7"/>
      <c r="B346" s="7"/>
    </row>
    <row r="347" spans="1:2" ht="15.75">
      <c r="A347" s="7"/>
      <c r="B347" s="9"/>
    </row>
    <row r="348" spans="1:2" ht="15.75">
      <c r="A348" s="7"/>
      <c r="B348" s="7"/>
    </row>
    <row r="349" spans="1:2" ht="15.75">
      <c r="A349" s="7"/>
      <c r="B349" s="7"/>
    </row>
    <row r="350" spans="1:2" ht="15.75">
      <c r="A350" s="7"/>
      <c r="B350" s="7"/>
    </row>
    <row r="351" spans="1:2" ht="15.75">
      <c r="A351" s="7"/>
      <c r="B351" s="7"/>
    </row>
    <row r="352" spans="1:2" ht="15.75">
      <c r="A352" s="7"/>
      <c r="B352" s="7"/>
    </row>
    <row r="353" spans="1:2" ht="15.75">
      <c r="A353" s="7"/>
      <c r="B353" s="7"/>
    </row>
    <row r="354" spans="1:2" ht="15.75">
      <c r="A354" s="7"/>
      <c r="B354" s="7"/>
    </row>
    <row r="355" spans="1:2" ht="15.75">
      <c r="A355" s="7"/>
      <c r="B355" s="9"/>
    </row>
    <row r="356" spans="1:2" ht="15.75">
      <c r="A356" s="7"/>
      <c r="B356" s="7"/>
    </row>
    <row r="357" spans="1:2" ht="15.75">
      <c r="A357" s="7"/>
      <c r="B357" s="7"/>
    </row>
    <row r="358" spans="1:2" ht="15.75">
      <c r="A358" s="7"/>
      <c r="B358" s="7"/>
    </row>
    <row r="359" spans="1:2" ht="15.75">
      <c r="A359" s="7"/>
      <c r="B359" s="7"/>
    </row>
    <row r="360" spans="1:2" ht="15.75">
      <c r="A360" s="7"/>
      <c r="B360" s="7"/>
    </row>
    <row r="361" spans="1:2" ht="15.75">
      <c r="A361" s="7"/>
      <c r="B361" s="9"/>
    </row>
    <row r="362" spans="1:2" ht="15.75">
      <c r="A362" s="7"/>
      <c r="B362" s="7"/>
    </row>
    <row r="363" spans="1:2" ht="15.75">
      <c r="A363" s="7"/>
      <c r="B363" s="9"/>
    </row>
    <row r="364" spans="1:2" ht="15.75">
      <c r="A364" s="7"/>
      <c r="B364" s="7"/>
    </row>
    <row r="365" spans="1:2" ht="15.75">
      <c r="A365" s="7"/>
      <c r="B365" s="9"/>
    </row>
    <row r="366" spans="1:2" ht="15.75">
      <c r="A366" s="7"/>
      <c r="B366" s="7"/>
    </row>
    <row r="367" spans="1:2" ht="18.75">
      <c r="A367" s="8"/>
    </row>
    <row r="368" spans="1:2" ht="15.75">
      <c r="A368" s="7"/>
    </row>
    <row r="369" spans="1:2" ht="15.75">
      <c r="A369" s="9"/>
    </row>
    <row r="370" spans="1:2" ht="15.75">
      <c r="A370" s="7"/>
    </row>
    <row r="371" spans="1:2" ht="15.75">
      <c r="A371" s="7"/>
    </row>
    <row r="372" spans="1:2" ht="15.75">
      <c r="A372" s="7"/>
    </row>
    <row r="373" spans="1:2" ht="18.75">
      <c r="A373" s="8"/>
    </row>
    <row r="374" spans="1:2" ht="15.75">
      <c r="A374" s="7"/>
      <c r="B374" s="9"/>
    </row>
    <row r="375" spans="1:2" ht="15.75">
      <c r="A375" s="7"/>
      <c r="B375" s="7"/>
    </row>
    <row r="376" spans="1:2" ht="15.75">
      <c r="A376" s="7"/>
      <c r="B376" s="7"/>
    </row>
    <row r="377" spans="1:2" ht="15.75">
      <c r="A377" s="7"/>
      <c r="B377" s="9"/>
    </row>
    <row r="378" spans="1:2" ht="15.75">
      <c r="A378" s="7"/>
      <c r="B378" s="7"/>
    </row>
    <row r="379" spans="1:2" ht="15.75">
      <c r="A379" s="7"/>
      <c r="B379" s="7"/>
    </row>
    <row r="380" spans="1:2" ht="15.75">
      <c r="A380" s="7"/>
      <c r="B380" s="7"/>
    </row>
    <row r="381" spans="1:2" ht="15.75">
      <c r="A381" s="7"/>
      <c r="B381" s="7"/>
    </row>
    <row r="382" spans="1:2" ht="15.75">
      <c r="A382" s="7"/>
      <c r="B382" s="7"/>
    </row>
    <row r="383" spans="1:2" ht="15.75">
      <c r="A383" s="7"/>
      <c r="B383" s="9"/>
    </row>
    <row r="384" spans="1:2" ht="15.75">
      <c r="A384" s="7"/>
      <c r="B384" s="9"/>
    </row>
    <row r="385" spans="1:2" ht="15.75">
      <c r="A385" s="7"/>
      <c r="B385" s="7"/>
    </row>
    <row r="386" spans="1:2" ht="15.75">
      <c r="A386" s="7"/>
      <c r="B386" s="7"/>
    </row>
    <row r="387" spans="1:2" ht="15.75">
      <c r="A387" s="7"/>
      <c r="B387" s="9"/>
    </row>
    <row r="388" spans="1:2" ht="15.75">
      <c r="A388" s="7"/>
      <c r="B388" s="7"/>
    </row>
    <row r="389" spans="1:2" ht="15.75">
      <c r="A389" s="7"/>
      <c r="B389" s="9"/>
    </row>
    <row r="390" spans="1:2" ht="15.75">
      <c r="A390" s="7"/>
      <c r="B390" s="7"/>
    </row>
    <row r="391" spans="1:2" ht="15.75">
      <c r="A391" s="7"/>
      <c r="B391" s="7"/>
    </row>
    <row r="392" spans="1:2" ht="15.75">
      <c r="A392" s="7"/>
    </row>
    <row r="393" spans="1:2" ht="15.75">
      <c r="A393" s="7"/>
    </row>
    <row r="394" spans="1:2" ht="15.75">
      <c r="A394" s="7"/>
    </row>
    <row r="395" spans="1:2" ht="15.75">
      <c r="A395" s="7"/>
    </row>
    <row r="396" spans="1:2" ht="18.75">
      <c r="A396" s="8"/>
    </row>
    <row r="397" spans="1:2" ht="15.75">
      <c r="A397" s="7"/>
    </row>
    <row r="398" spans="1:2" ht="15.75">
      <c r="A398" s="9"/>
    </row>
    <row r="399" spans="1:2" ht="15.75">
      <c r="A399" s="7"/>
    </row>
    <row r="400" spans="1:2" ht="15.75">
      <c r="A400" s="7"/>
    </row>
    <row r="401" spans="1:2" ht="15.75">
      <c r="A401" s="7"/>
    </row>
    <row r="402" spans="1:2" ht="18.75">
      <c r="A402" s="8"/>
    </row>
    <row r="403" spans="1:2" ht="15.75">
      <c r="A403" s="7"/>
      <c r="B403" s="9"/>
    </row>
    <row r="404" spans="1:2" ht="15.75">
      <c r="A404" s="7"/>
      <c r="B404" s="7"/>
    </row>
    <row r="405" spans="1:2" ht="15.75">
      <c r="A405" s="7"/>
      <c r="B405" s="7"/>
    </row>
    <row r="406" spans="1:2" ht="15.75">
      <c r="A406" s="7"/>
      <c r="B406" s="9"/>
    </row>
    <row r="407" spans="1:2" ht="15.75">
      <c r="A407" s="7"/>
      <c r="B407" s="7"/>
    </row>
    <row r="408" spans="1:2" ht="15.75">
      <c r="A408" s="7"/>
      <c r="B408" s="9"/>
    </row>
    <row r="409" spans="1:2" ht="15.75">
      <c r="A409" s="7"/>
      <c r="B409" s="7"/>
    </row>
    <row r="410" spans="1:2" ht="15.75">
      <c r="A410" s="7"/>
      <c r="B410" s="7"/>
    </row>
    <row r="411" spans="1:2" ht="15.75">
      <c r="A411" s="7"/>
      <c r="B411" s="7"/>
    </row>
    <row r="412" spans="1:2" ht="15.75">
      <c r="A412" s="7"/>
      <c r="B412" s="7"/>
    </row>
    <row r="413" spans="1:2" ht="15.75">
      <c r="A413" s="7"/>
      <c r="B413" s="7"/>
    </row>
    <row r="414" spans="1:2" ht="15.75">
      <c r="A414" s="7"/>
      <c r="B414" s="9"/>
    </row>
    <row r="415" spans="1:2" ht="15.75">
      <c r="A415" s="7"/>
      <c r="B415" s="7"/>
    </row>
    <row r="416" spans="1:2" ht="15.75">
      <c r="A416" s="7"/>
      <c r="B416" s="7"/>
    </row>
    <row r="417" spans="1:2" ht="15.75">
      <c r="A417" s="7"/>
      <c r="B417" s="7"/>
    </row>
    <row r="418" spans="1:2" ht="15.75">
      <c r="A418" s="7"/>
      <c r="B418" s="9"/>
    </row>
    <row r="419" spans="1:2" ht="15.75">
      <c r="A419" s="7"/>
      <c r="B419" s="7"/>
    </row>
    <row r="420" spans="1:2" ht="15.75">
      <c r="A420" s="7"/>
      <c r="B420" s="7"/>
    </row>
    <row r="421" spans="1:2" ht="15.75">
      <c r="A421" s="7"/>
      <c r="B421" s="9"/>
    </row>
    <row r="422" spans="1:2" ht="15.75">
      <c r="A422" s="7"/>
      <c r="B422" s="7"/>
    </row>
    <row r="423" spans="1:2" ht="15.75">
      <c r="A423" s="7"/>
      <c r="B423" s="9"/>
    </row>
    <row r="424" spans="1:2" ht="15.75">
      <c r="A424" s="7"/>
    </row>
    <row r="425" spans="1:2" ht="18.75">
      <c r="A425" s="8"/>
    </row>
    <row r="426" spans="1:2" ht="15.75">
      <c r="A426" s="9"/>
    </row>
    <row r="427" spans="1:2" ht="15.75">
      <c r="A427" s="7"/>
    </row>
    <row r="428" spans="1:2" ht="15.75">
      <c r="A428" s="7"/>
    </row>
    <row r="429" spans="1:2" ht="15.75">
      <c r="A429" s="7"/>
    </row>
    <row r="430" spans="1:2" ht="18.75">
      <c r="A430" s="8"/>
    </row>
    <row r="431" spans="1:2" ht="15.75">
      <c r="A431" s="7"/>
      <c r="B431" s="9"/>
    </row>
    <row r="432" spans="1:2" ht="15.75">
      <c r="A432" s="7"/>
      <c r="B432" s="7"/>
    </row>
    <row r="433" spans="1:2" ht="15.75">
      <c r="A433" s="7"/>
      <c r="B433" s="9"/>
    </row>
    <row r="434" spans="1:2" ht="15.75">
      <c r="A434" s="7"/>
      <c r="B434" s="7"/>
    </row>
    <row r="435" spans="1:2" ht="15.75">
      <c r="A435" s="7"/>
      <c r="B435" s="7"/>
    </row>
    <row r="436" spans="1:2" ht="15.75">
      <c r="A436" s="7"/>
      <c r="B436" s="9"/>
    </row>
    <row r="437" spans="1:2" ht="15.75">
      <c r="A437" s="7"/>
      <c r="B437" s="7"/>
    </row>
    <row r="438" spans="1:2" ht="15.75">
      <c r="A438" s="7"/>
      <c r="B438" s="7"/>
    </row>
    <row r="439" spans="1:2" ht="15.75">
      <c r="A439" s="7"/>
      <c r="B439" s="7"/>
    </row>
    <row r="440" spans="1:2" ht="15.75">
      <c r="A440" s="7"/>
      <c r="B440" s="9"/>
    </row>
    <row r="441" spans="1:2" ht="15.75">
      <c r="A441" s="7"/>
      <c r="B441" s="7"/>
    </row>
    <row r="442" spans="1:2" ht="15.75">
      <c r="A442" s="7"/>
      <c r="B442" s="7"/>
    </row>
    <row r="443" spans="1:2" ht="15.75">
      <c r="A443" s="7"/>
      <c r="B443" s="9"/>
    </row>
    <row r="444" spans="1:2" ht="15.75">
      <c r="A444" s="7"/>
      <c r="B444" s="7"/>
    </row>
    <row r="445" spans="1:2" ht="15.75">
      <c r="A445" s="7"/>
      <c r="B445" s="9"/>
    </row>
    <row r="446" spans="1:2" ht="15.75">
      <c r="A446" s="7"/>
      <c r="B446" s="7"/>
    </row>
    <row r="447" spans="1:2" ht="15.75">
      <c r="A447" s="7"/>
      <c r="B447" s="9"/>
    </row>
    <row r="448" spans="1:2" ht="15.75">
      <c r="A448" s="7"/>
      <c r="B448" s="7"/>
    </row>
    <row r="449" spans="1:2" ht="15.75">
      <c r="A449" s="7"/>
      <c r="B449" s="7"/>
    </row>
    <row r="450" spans="1:2" ht="18.75">
      <c r="A450" s="8"/>
    </row>
    <row r="451" spans="1:2" ht="15.75">
      <c r="A451" s="7"/>
    </row>
    <row r="452" spans="1:2" ht="15.75">
      <c r="A452" s="9"/>
    </row>
    <row r="453" spans="1:2" ht="15.75">
      <c r="A453" s="7"/>
    </row>
    <row r="454" spans="1:2" ht="15.75">
      <c r="A454" s="7"/>
    </row>
    <row r="455" spans="1:2" ht="15.75">
      <c r="A455" s="7"/>
    </row>
    <row r="456" spans="1:2" ht="15.75">
      <c r="A456" s="7"/>
    </row>
    <row r="457" spans="1:2" ht="15.75">
      <c r="A457" s="7"/>
    </row>
    <row r="458" spans="1:2" ht="18.75">
      <c r="A458" s="8"/>
    </row>
    <row r="459" spans="1:2" ht="15.75">
      <c r="A459" s="7"/>
      <c r="B459" s="9"/>
    </row>
    <row r="460" spans="1:2" ht="15.75">
      <c r="A460" s="7"/>
      <c r="B460" s="7"/>
    </row>
    <row r="461" spans="1:2" ht="15.75">
      <c r="A461" s="7"/>
      <c r="B461" s="9"/>
    </row>
    <row r="462" spans="1:2" ht="15.75">
      <c r="A462" s="7"/>
      <c r="B462" s="9"/>
    </row>
    <row r="463" spans="1:2" ht="15.75">
      <c r="A463" s="7"/>
      <c r="B463" s="9"/>
    </row>
    <row r="464" spans="1:2" ht="15.75">
      <c r="A464" s="7"/>
      <c r="B464" s="9"/>
    </row>
    <row r="465" spans="1:2" ht="15.75">
      <c r="A465" s="7"/>
      <c r="B465" s="9"/>
    </row>
    <row r="466" spans="1:2" ht="15.75">
      <c r="A466" s="7"/>
      <c r="B466" s="9"/>
    </row>
    <row r="467" spans="1:2" ht="15.75">
      <c r="A467" s="7"/>
      <c r="B467" s="7"/>
    </row>
    <row r="468" spans="1:2" ht="15.75">
      <c r="A468" s="7"/>
      <c r="B468" s="7"/>
    </row>
    <row r="469" spans="1:2" ht="15.75">
      <c r="A469" s="7"/>
      <c r="B469" s="7"/>
    </row>
    <row r="470" spans="1:2" ht="15.75">
      <c r="A470" s="7"/>
      <c r="B470" s="7"/>
    </row>
    <row r="471" spans="1:2" ht="15.75">
      <c r="A471" s="7"/>
      <c r="B471" s="7"/>
    </row>
    <row r="472" spans="1:2" ht="15.75">
      <c r="A472" s="7"/>
      <c r="B472" s="9"/>
    </row>
    <row r="473" spans="1:2" ht="15.75">
      <c r="A473" s="7"/>
      <c r="B473" s="7"/>
    </row>
    <row r="474" spans="1:2" ht="15.75">
      <c r="A474" s="7"/>
      <c r="B474" s="7"/>
    </row>
    <row r="475" spans="1:2" ht="15.75">
      <c r="A475" s="7"/>
      <c r="B475" s="7"/>
    </row>
    <row r="476" spans="1:2" ht="15.75">
      <c r="A476" s="7"/>
      <c r="B476" s="7"/>
    </row>
    <row r="477" spans="1:2" ht="15.75">
      <c r="A477" s="7"/>
      <c r="B477" s="7"/>
    </row>
    <row r="478" spans="1:2" ht="15.75">
      <c r="A478" s="7"/>
      <c r="B478" s="7"/>
    </row>
    <row r="479" spans="1:2" ht="15.75">
      <c r="A479" s="7"/>
      <c r="B479" s="7"/>
    </row>
    <row r="480" spans="1:2" ht="15.75">
      <c r="A480" s="7"/>
      <c r="B480" s="9"/>
    </row>
    <row r="481" spans="1:2" ht="15.75">
      <c r="A481" s="7"/>
      <c r="B481" s="7"/>
    </row>
    <row r="482" spans="1:2" ht="15.75">
      <c r="A482" s="7"/>
      <c r="B482" s="7"/>
    </row>
    <row r="483" spans="1:2" ht="15.75">
      <c r="A483" s="7"/>
      <c r="B483" s="9"/>
    </row>
    <row r="484" spans="1:2" ht="15.75">
      <c r="A484" s="7"/>
      <c r="B484" s="7"/>
    </row>
    <row r="485" spans="1:2" ht="15.75">
      <c r="A485" s="7"/>
    </row>
    <row r="486" spans="1:2" ht="18.75">
      <c r="A486" s="8"/>
    </row>
    <row r="487" spans="1:2" ht="15.75">
      <c r="A487" s="7"/>
    </row>
    <row r="488" spans="1:2" ht="15.75">
      <c r="A488" s="9"/>
    </row>
    <row r="489" spans="1:2" ht="15.75">
      <c r="A489" s="7"/>
    </row>
    <row r="490" spans="1:2" ht="15.75">
      <c r="A490" s="7"/>
    </row>
    <row r="491" spans="1:2" ht="15.75">
      <c r="A491" s="7"/>
    </row>
    <row r="492" spans="1:2" ht="15.75">
      <c r="A492" s="7"/>
    </row>
    <row r="493" spans="1:2" ht="18.75">
      <c r="A493" s="8"/>
    </row>
    <row r="494" spans="1:2" ht="15.75">
      <c r="A494" s="7"/>
      <c r="B494" s="9"/>
    </row>
    <row r="495" spans="1:2" ht="15.75">
      <c r="A495" s="7"/>
      <c r="B495" s="7"/>
    </row>
    <row r="496" spans="1:2" ht="15.75">
      <c r="A496" s="7"/>
      <c r="B496" s="7"/>
    </row>
    <row r="497" spans="1:2" ht="15.75">
      <c r="A497" s="7"/>
      <c r="B497" s="9"/>
    </row>
    <row r="498" spans="1:2" ht="15.75">
      <c r="A498" s="7"/>
      <c r="B498" s="7"/>
    </row>
    <row r="499" spans="1:2" ht="15.75">
      <c r="A499" s="7"/>
      <c r="B499" s="7"/>
    </row>
    <row r="500" spans="1:2" ht="15.75">
      <c r="A500" s="7"/>
      <c r="B500" s="7"/>
    </row>
    <row r="501" spans="1:2" ht="15.75">
      <c r="A501" s="7"/>
      <c r="B501" s="7"/>
    </row>
    <row r="502" spans="1:2" ht="15.75">
      <c r="A502" s="7"/>
      <c r="B502" s="7"/>
    </row>
    <row r="503" spans="1:2" ht="15.75">
      <c r="A503" s="7"/>
      <c r="B503" s="9"/>
    </row>
    <row r="504" spans="1:2" ht="15.75">
      <c r="A504" s="7"/>
      <c r="B504" s="7"/>
    </row>
    <row r="505" spans="1:2" ht="15.75">
      <c r="A505" s="7"/>
      <c r="B505" s="7"/>
    </row>
    <row r="506" spans="1:2" ht="15.75">
      <c r="A506" s="7"/>
      <c r="B506" s="7"/>
    </row>
    <row r="507" spans="1:2" ht="15.75">
      <c r="A507" s="7"/>
      <c r="B507" s="9"/>
    </row>
    <row r="508" spans="1:2" ht="15.75">
      <c r="A508" s="7"/>
      <c r="B508" s="7"/>
    </row>
    <row r="509" spans="1:2" ht="15.75">
      <c r="A509" s="7"/>
      <c r="B509" s="7"/>
    </row>
    <row r="510" spans="1:2" ht="15.75">
      <c r="A510" s="7"/>
      <c r="B510" s="7"/>
    </row>
    <row r="511" spans="1:2" ht="15.75">
      <c r="A511" s="7"/>
      <c r="B511" s="9"/>
    </row>
    <row r="512" spans="1:2" ht="15.75">
      <c r="A512" s="7"/>
      <c r="B512" s="7"/>
    </row>
    <row r="513" spans="1:2" ht="15.75">
      <c r="A513" s="7"/>
      <c r="B513" s="7"/>
    </row>
    <row r="514" spans="1:2" ht="15.75">
      <c r="A514" s="7"/>
      <c r="B514" s="9"/>
    </row>
    <row r="515" spans="1:2" ht="15.75">
      <c r="A515" s="7"/>
      <c r="B515" s="7"/>
    </row>
    <row r="516" spans="1:2" ht="15.75">
      <c r="A516" s="7"/>
    </row>
    <row r="517" spans="1:2" ht="18.75">
      <c r="A517" s="8"/>
    </row>
    <row r="518" spans="1:2" ht="15.75">
      <c r="A518" s="7"/>
    </row>
    <row r="519" spans="1:2" ht="15.75">
      <c r="A519" s="9"/>
    </row>
    <row r="520" spans="1:2" ht="15.75">
      <c r="A520" s="7"/>
    </row>
    <row r="521" spans="1:2" ht="15.75">
      <c r="A521" s="7"/>
    </row>
    <row r="522" spans="1:2" ht="15.75">
      <c r="A522" s="7"/>
    </row>
    <row r="523" spans="1:2" ht="18.75">
      <c r="A523" s="8"/>
    </row>
    <row r="524" spans="1:2" ht="15.75">
      <c r="A524" s="7"/>
      <c r="B524" s="9"/>
    </row>
    <row r="525" spans="1:2" ht="15.75">
      <c r="A525" s="7"/>
      <c r="B525" s="7"/>
    </row>
    <row r="526" spans="1:2" ht="15.75">
      <c r="A526" s="7"/>
      <c r="B526" s="7"/>
    </row>
    <row r="527" spans="1:2" ht="15.75">
      <c r="A527" s="7"/>
      <c r="B527" s="9"/>
    </row>
    <row r="528" spans="1:2" ht="15.75">
      <c r="A528" s="7"/>
      <c r="B528" s="7"/>
    </row>
    <row r="529" spans="1:2" ht="15.75">
      <c r="A529" s="7"/>
      <c r="B529" s="7"/>
    </row>
    <row r="530" spans="1:2" ht="15.75">
      <c r="A530" s="7"/>
      <c r="B530" s="9"/>
    </row>
    <row r="531" spans="1:2" ht="15.75">
      <c r="A531" s="7"/>
      <c r="B531" s="7"/>
    </row>
    <row r="532" spans="1:2" ht="15.75">
      <c r="A532" s="7"/>
      <c r="B532" s="7"/>
    </row>
    <row r="533" spans="1:2" ht="15.75">
      <c r="A533" s="7"/>
      <c r="B533" s="9"/>
    </row>
    <row r="534" spans="1:2" ht="15.75">
      <c r="A534" s="7"/>
      <c r="B534" s="7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tabSelected="1" zoomScaleNormal="100" workbookViewId="0">
      <pane ySplit="2" topLeftCell="A3" activePane="bottomLeft" state="frozen"/>
      <selection pane="bottomLeft" activeCell="D24" sqref="D24:D31"/>
    </sheetView>
  </sheetViews>
  <sheetFormatPr defaultColWidth="9.140625" defaultRowHeight="14.25"/>
  <cols>
    <col min="1" max="1" width="9.5703125" style="13" customWidth="1"/>
    <col min="2" max="2" width="68.85546875" style="13" customWidth="1"/>
    <col min="3" max="3" width="33.28515625" style="13" customWidth="1"/>
    <col min="4" max="4" width="24.140625" style="13" customWidth="1"/>
    <col min="5" max="5" width="23.28515625" style="13" customWidth="1"/>
    <col min="6" max="6" width="20" style="13" customWidth="1"/>
    <col min="7" max="7" width="19.140625" style="13" customWidth="1"/>
    <col min="8" max="8" width="9.140625" style="13"/>
    <col min="9" max="9" width="11.140625" style="13" customWidth="1"/>
    <col min="10" max="16384" width="9.140625" style="13"/>
  </cols>
  <sheetData>
    <row r="1" spans="1:6" ht="15.75" customHeight="1">
      <c r="A1" s="142" t="s">
        <v>11</v>
      </c>
      <c r="B1" s="142" t="s">
        <v>12</v>
      </c>
      <c r="C1" s="142" t="s">
        <v>13</v>
      </c>
      <c r="D1" s="141" t="s">
        <v>14</v>
      </c>
      <c r="E1" s="142" t="s">
        <v>15</v>
      </c>
      <c r="F1" s="53"/>
    </row>
    <row r="2" spans="1:6" ht="15.75" customHeight="1">
      <c r="A2" s="142"/>
      <c r="B2" s="142"/>
      <c r="C2" s="142"/>
      <c r="D2" s="141"/>
      <c r="E2" s="142"/>
      <c r="F2" s="53"/>
    </row>
    <row r="3" spans="1:6" ht="16.5">
      <c r="A3" s="122"/>
      <c r="B3" s="122" t="s">
        <v>16</v>
      </c>
      <c r="C3" s="123"/>
      <c r="D3" s="125"/>
      <c r="E3" s="122"/>
      <c r="F3" s="53"/>
    </row>
    <row r="4" spans="1:6" ht="16.5">
      <c r="A4" s="93">
        <v>1</v>
      </c>
      <c r="B4" s="93" t="s">
        <v>17</v>
      </c>
      <c r="C4" s="143">
        <v>3</v>
      </c>
      <c r="D4" s="103" t="s">
        <v>18</v>
      </c>
      <c r="E4" s="93"/>
      <c r="F4" s="53"/>
    </row>
    <row r="5" spans="1:6" ht="16.5">
      <c r="A5" s="93">
        <v>2</v>
      </c>
      <c r="B5" s="93" t="s">
        <v>19</v>
      </c>
      <c r="C5" s="143"/>
      <c r="D5" s="103" t="s">
        <v>18</v>
      </c>
      <c r="E5" s="93"/>
      <c r="F5" s="53"/>
    </row>
    <row r="6" spans="1:6" ht="16.5">
      <c r="A6" s="122"/>
      <c r="B6" s="121" t="s">
        <v>20</v>
      </c>
      <c r="C6" s="123"/>
      <c r="D6" s="125"/>
      <c r="E6" s="122"/>
      <c r="F6" s="53"/>
    </row>
    <row r="7" spans="1:6" ht="16.5">
      <c r="A7" s="93">
        <v>3</v>
      </c>
      <c r="B7" s="124" t="s">
        <v>21</v>
      </c>
      <c r="C7" s="143">
        <v>16</v>
      </c>
      <c r="D7" s="103" t="s">
        <v>18</v>
      </c>
      <c r="E7" s="93"/>
      <c r="F7" s="53"/>
    </row>
    <row r="8" spans="1:6" ht="16.5">
      <c r="A8" s="93">
        <v>4</v>
      </c>
      <c r="B8" s="94" t="s">
        <v>22</v>
      </c>
      <c r="C8" s="143"/>
      <c r="D8" s="103" t="s">
        <v>18</v>
      </c>
      <c r="E8" s="93"/>
      <c r="F8" s="53"/>
    </row>
    <row r="9" spans="1:6" ht="16.5">
      <c r="A9" s="93">
        <v>5</v>
      </c>
      <c r="B9" s="93" t="s">
        <v>23</v>
      </c>
      <c r="C9" s="143"/>
      <c r="D9" s="103" t="s">
        <v>18</v>
      </c>
      <c r="E9" s="93"/>
      <c r="F9" s="53"/>
    </row>
    <row r="10" spans="1:6" ht="16.5">
      <c r="A10" s="93">
        <v>6</v>
      </c>
      <c r="B10" s="94" t="s">
        <v>24</v>
      </c>
      <c r="C10" s="143"/>
      <c r="D10" s="103" t="s">
        <v>18</v>
      </c>
      <c r="E10" s="93"/>
      <c r="F10" s="53"/>
    </row>
    <row r="11" spans="1:6" ht="16.5">
      <c r="A11" s="122"/>
      <c r="B11" s="121" t="s">
        <v>25</v>
      </c>
      <c r="C11" s="123"/>
      <c r="D11" s="125"/>
      <c r="E11" s="122"/>
      <c r="F11" s="53"/>
    </row>
    <row r="12" spans="1:6" ht="16.5">
      <c r="A12" s="93">
        <v>7</v>
      </c>
      <c r="B12" s="94" t="s">
        <v>26</v>
      </c>
      <c r="C12" s="116"/>
      <c r="D12" s="101" t="s">
        <v>27</v>
      </c>
      <c r="E12" s="93"/>
      <c r="F12" s="53"/>
    </row>
    <row r="13" spans="1:6" ht="16.5">
      <c r="A13" s="122"/>
      <c r="B13" s="122" t="s">
        <v>28</v>
      </c>
      <c r="C13" s="123"/>
      <c r="D13" s="125"/>
      <c r="E13" s="122"/>
      <c r="F13" s="53"/>
    </row>
    <row r="14" spans="1:6" ht="16.5">
      <c r="A14" s="93">
        <v>8</v>
      </c>
      <c r="B14" s="94" t="s">
        <v>29</v>
      </c>
      <c r="C14" s="143">
        <v>4</v>
      </c>
      <c r="D14" s="103" t="s">
        <v>18</v>
      </c>
      <c r="E14" s="93"/>
      <c r="F14" s="53"/>
    </row>
    <row r="15" spans="1:6" ht="16.5">
      <c r="A15" s="93">
        <v>9</v>
      </c>
      <c r="B15" s="94" t="s">
        <v>30</v>
      </c>
      <c r="C15" s="143"/>
      <c r="D15" s="103" t="s">
        <v>18</v>
      </c>
      <c r="E15" s="93"/>
      <c r="F15" s="53"/>
    </row>
    <row r="16" spans="1:6" ht="16.5">
      <c r="A16" s="122"/>
      <c r="B16" s="122" t="s">
        <v>31</v>
      </c>
      <c r="C16" s="123"/>
      <c r="D16" s="125"/>
      <c r="E16" s="122"/>
      <c r="F16" s="53"/>
    </row>
    <row r="17" spans="1:7" ht="15.75">
      <c r="A17" s="93">
        <v>10</v>
      </c>
      <c r="B17" s="127" t="s">
        <v>32</v>
      </c>
      <c r="C17" s="143">
        <v>30</v>
      </c>
      <c r="D17" s="103" t="s">
        <v>18</v>
      </c>
      <c r="E17" s="93"/>
      <c r="F17" s="53"/>
    </row>
    <row r="18" spans="1:7" ht="18.75">
      <c r="A18" s="115">
        <v>11</v>
      </c>
      <c r="B18" s="93" t="s">
        <v>33</v>
      </c>
      <c r="C18" s="143"/>
      <c r="D18" s="103" t="s">
        <v>18</v>
      </c>
      <c r="E18" s="127"/>
      <c r="F18" s="53"/>
      <c r="G18" s="14"/>
    </row>
    <row r="19" spans="1:7" ht="16.5">
      <c r="A19" s="115">
        <v>12</v>
      </c>
      <c r="B19" s="128" t="s">
        <v>34</v>
      </c>
      <c r="C19" s="143"/>
      <c r="D19" s="103" t="s">
        <v>18</v>
      </c>
      <c r="E19" s="127"/>
      <c r="F19" s="53"/>
    </row>
    <row r="20" spans="1:7" ht="16.5">
      <c r="A20" s="115">
        <v>13</v>
      </c>
      <c r="B20" s="115" t="s">
        <v>35</v>
      </c>
      <c r="C20" s="143"/>
      <c r="D20" s="103" t="s">
        <v>18</v>
      </c>
      <c r="E20" s="127"/>
      <c r="F20" s="53"/>
    </row>
    <row r="21" spans="1:7" ht="16.5">
      <c r="A21" s="115">
        <v>14</v>
      </c>
      <c r="B21" s="128" t="s">
        <v>36</v>
      </c>
      <c r="C21" s="143"/>
      <c r="D21" s="103" t="s">
        <v>18</v>
      </c>
      <c r="E21" s="127"/>
      <c r="F21" s="53"/>
    </row>
    <row r="22" spans="1:7" ht="16.5">
      <c r="A22" s="93">
        <v>15</v>
      </c>
      <c r="B22" s="94" t="s">
        <v>37</v>
      </c>
      <c r="C22" s="143"/>
      <c r="D22" s="103" t="s">
        <v>18</v>
      </c>
      <c r="E22" s="93"/>
      <c r="F22" s="53"/>
    </row>
    <row r="23" spans="1:7" ht="18.75">
      <c r="A23" s="115">
        <v>16</v>
      </c>
      <c r="B23" s="129" t="s">
        <v>38</v>
      </c>
      <c r="C23" s="143"/>
      <c r="D23" s="103" t="s">
        <v>18</v>
      </c>
      <c r="E23" s="127"/>
      <c r="F23" s="53"/>
      <c r="G23" s="14"/>
    </row>
    <row r="24" spans="1:7" ht="16.5">
      <c r="A24" s="93">
        <v>17</v>
      </c>
      <c r="B24" s="93" t="s">
        <v>39</v>
      </c>
      <c r="C24" s="143"/>
      <c r="D24" s="103" t="s">
        <v>18</v>
      </c>
      <c r="E24" s="93"/>
      <c r="F24" s="53"/>
    </row>
    <row r="25" spans="1:7" ht="16.5">
      <c r="A25" s="93">
        <v>18</v>
      </c>
      <c r="B25" s="93" t="s">
        <v>40</v>
      </c>
      <c r="C25" s="143"/>
      <c r="D25" s="103" t="s">
        <v>18</v>
      </c>
      <c r="E25" s="93"/>
      <c r="F25" s="53"/>
    </row>
    <row r="26" spans="1:7" ht="16.5">
      <c r="A26" s="115">
        <v>19</v>
      </c>
      <c r="B26" s="128" t="s">
        <v>41</v>
      </c>
      <c r="C26" s="143"/>
      <c r="D26" s="103" t="s">
        <v>18</v>
      </c>
      <c r="E26" s="127"/>
      <c r="F26" s="53"/>
    </row>
    <row r="27" spans="1:7" ht="16.5">
      <c r="A27" s="115">
        <v>20</v>
      </c>
      <c r="B27" s="115" t="s">
        <v>42</v>
      </c>
      <c r="C27" s="143"/>
      <c r="D27" s="103" t="s">
        <v>18</v>
      </c>
      <c r="E27" s="127"/>
      <c r="F27" s="53"/>
    </row>
    <row r="28" spans="1:7" ht="16.5">
      <c r="A28" s="115">
        <v>21</v>
      </c>
      <c r="B28" s="128" t="s">
        <v>43</v>
      </c>
      <c r="C28" s="143"/>
      <c r="D28" s="103" t="s">
        <v>18</v>
      </c>
      <c r="E28" s="127"/>
      <c r="F28" s="53"/>
    </row>
    <row r="29" spans="1:7" ht="15.75">
      <c r="A29" s="127">
        <v>22</v>
      </c>
      <c r="B29" s="126" t="s">
        <v>44</v>
      </c>
      <c r="C29" s="143"/>
      <c r="D29" s="103" t="s">
        <v>18</v>
      </c>
      <c r="E29" s="127"/>
      <c r="F29" s="53"/>
    </row>
    <row r="30" spans="1:7" ht="15.75">
      <c r="A30" s="127">
        <v>23</v>
      </c>
      <c r="B30" s="127" t="s">
        <v>45</v>
      </c>
      <c r="C30" s="143"/>
      <c r="D30" s="103" t="s">
        <v>18</v>
      </c>
      <c r="E30" s="127"/>
      <c r="F30" s="53"/>
    </row>
    <row r="31" spans="1:7" ht="15.75">
      <c r="A31" s="127">
        <v>24</v>
      </c>
      <c r="B31" s="127" t="s">
        <v>46</v>
      </c>
      <c r="C31" s="143"/>
      <c r="D31" s="103" t="s">
        <v>18</v>
      </c>
      <c r="E31" s="127"/>
      <c r="F31" s="53"/>
    </row>
    <row r="32" spans="1:7" ht="16.5">
      <c r="A32" s="122"/>
      <c r="B32" s="121" t="s">
        <v>47</v>
      </c>
      <c r="C32" s="123"/>
      <c r="D32" s="125"/>
      <c r="E32" s="122"/>
      <c r="F32" s="53"/>
    </row>
    <row r="33" spans="1:6" ht="16.5">
      <c r="A33" s="93">
        <v>25</v>
      </c>
      <c r="B33" s="94" t="s">
        <v>48</v>
      </c>
      <c r="C33" s="116"/>
      <c r="D33" s="101" t="s">
        <v>27</v>
      </c>
      <c r="E33" s="93"/>
      <c r="F33" s="53"/>
    </row>
    <row r="34" spans="1:6" ht="15">
      <c r="A34" s="70"/>
      <c r="B34" s="130" t="s">
        <v>49</v>
      </c>
      <c r="C34" s="131">
        <f>SUM(C6:C31)</f>
        <v>50</v>
      </c>
      <c r="D34" s="132" t="s">
        <v>50</v>
      </c>
      <c r="E34" s="70"/>
      <c r="F34" s="53"/>
    </row>
    <row r="35" spans="1:6" ht="15.75">
      <c r="A35" s="31"/>
      <c r="B35" s="31"/>
      <c r="C35" s="31"/>
      <c r="D35" s="31"/>
      <c r="E35" s="31"/>
    </row>
    <row r="36" spans="1:6" ht="15.75"/>
    <row r="37" spans="1:6" ht="15.75"/>
    <row r="38" spans="1:6" ht="15.75"/>
    <row r="39" spans="1:6" ht="15.75"/>
    <row r="40" spans="1:6" ht="15.75"/>
    <row r="41" spans="1:6" ht="15.75"/>
    <row r="42" spans="1:6" ht="15.75"/>
    <row r="43" spans="1:6" ht="15.75"/>
    <row r="44" spans="1:6" ht="15.75"/>
    <row r="45" spans="1:6" ht="15.75"/>
    <row r="46" spans="1:6" ht="15.75"/>
    <row r="47" spans="1:6" ht="15.75"/>
    <row r="48" spans="1:6" ht="15.75"/>
    <row r="51" ht="15.75"/>
  </sheetData>
  <mergeCells count="9">
    <mergeCell ref="C17:C31"/>
    <mergeCell ref="A1:A2"/>
    <mergeCell ref="B1:B2"/>
    <mergeCell ref="C1:C2"/>
    <mergeCell ref="D1:D2"/>
    <mergeCell ref="E1:E2"/>
    <mergeCell ref="C4:C5"/>
    <mergeCell ref="C7:C10"/>
    <mergeCell ref="C14:C15"/>
  </mergeCell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5EAB179-7713-4BE0-A694-952E3765DB7E}">
            <xm:f>NOT(ISERROR(SEARCH(Datasheet!$A$3,D48)))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77CC70D6-E1C0-4D21-B430-41F6355985FC}">
            <xm:f>NOT(ISERROR(SEARCH(Datasheet!$A$5,D48)))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D48</xm:sqref>
        </x14:conditionalFormatting>
        <x14:conditionalFormatting xmlns:xm="http://schemas.microsoft.com/office/excel/2006/main">
          <x14:cfRule type="containsText" priority="4" operator="containsText" id="{806F579D-5F60-4081-B517-718B1AADE5EA}">
            <xm:f>NOT(ISERROR(SEARCH(Datasheet!$A$3,D50)))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id="{C81E787F-E22E-475B-8F52-45F7D34B3955}">
            <xm:f>NOT(ISERROR(SEARCH(Datasheet!$A$5,D50)))</xm:f>
            <xm:f>Datasheet!$A$5</xm:f>
            <x14:dxf>
              <font>
                <color rgb="FF9C0006"/>
              </font>
            </x14:dxf>
          </x14:cfRule>
          <xm:sqref>D50</xm:sqref>
        </x14:conditionalFormatting>
        <x14:conditionalFormatting xmlns:xm="http://schemas.microsoft.com/office/excel/2006/main">
          <x14:cfRule type="containsText" priority="6" operator="containsText" id="{90AED0C0-50B0-4827-B960-D01B6C1A4AB1}">
            <xm:f>NOT(ISERROR(SEARCH(Datasheet!$A$3,D51)))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7" operator="containsText" id="{2F8C55E9-D09F-40B0-AA31-201A6ACFF920}">
            <xm:f>NOT(ISERROR(SEARCH(Datasheet!$A$5,D51)))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D51</xm:sqref>
        </x14:conditionalFormatting>
        <x14:conditionalFormatting xmlns:xm="http://schemas.microsoft.com/office/excel/2006/main">
          <x14:cfRule type="containsText" priority="8" operator="containsText" id="{152BC82E-90EA-44FC-8961-EF4053505FE0}">
            <xm:f>NOT(ISERROR(SEARCH(Datasheet!$A$3,D52)))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EA74FC87-3FBA-4F91-8193-A5EF5144311C}">
            <xm:f>NOT(ISERROR(SEARCH(Datasheet!$A$5,D52)))</xm:f>
            <xm:f>Datasheet!$A$5</xm:f>
            <x14:dxf>
              <font>
                <color rgb="FF9C0006"/>
              </font>
            </x14:dxf>
          </x14:cfRule>
          <xm:sqref>D52</xm:sqref>
        </x14:conditionalFormatting>
        <x14:conditionalFormatting xmlns:xm="http://schemas.microsoft.com/office/excel/2006/main">
          <x14:cfRule type="containsText" priority="10" operator="containsText" id="{BEC6B03E-15A8-4532-8B4B-747BC08A3D95}">
            <xm:f>NOT(ISERROR(SEARCH(Datasheet!$A$3,D53)))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1" operator="containsText" id="{76D963E0-2436-4CE7-88AF-247E3273EAC8}">
            <xm:f>NOT(ISERROR(SEARCH(Datasheet!$A$5,D53)))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D53</xm:sqref>
        </x14:conditionalFormatting>
        <x14:conditionalFormatting xmlns:xm="http://schemas.microsoft.com/office/excel/2006/main">
          <x14:cfRule type="containsText" priority="12" operator="containsText" id="{2B957C90-C733-4C70-A6E6-948DE9DA52D6}">
            <xm:f>NOT(ISERROR(SEARCH(Datasheet!$A$3,D55)))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" operator="containsText" id="{A1916D86-50C6-4C54-B2EA-36E1CF10D36D}">
            <xm:f>NOT(ISERROR(SEARCH(Datasheet!$A$5,D55)))</xm:f>
            <xm:f>Datasheet!$A$5</xm:f>
            <x14:dxf>
              <font>
                <color rgb="FF9C0006"/>
              </font>
            </x14:dxf>
          </x14:cfRule>
          <xm:sqref>D55:D57</xm:sqref>
        </x14:conditionalFormatting>
        <x14:conditionalFormatting xmlns:xm="http://schemas.microsoft.com/office/excel/2006/main">
          <x14:cfRule type="containsText" priority="14" operator="containsText" id="{CE3795C2-66B8-4F98-9228-FF9F32E1AC15}">
            <xm:f>NOT(ISERROR(SEARCH(Datasheet!$A$3,D59)))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5" operator="containsText" id="{D7FFD3DE-B8D0-4540-B552-B0CC1636F08C}">
            <xm:f>NOT(ISERROR(SEARCH(Datasheet!$A$5,D59)))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D59:D66</xm:sqref>
        </x14:conditionalFormatting>
        <x14:conditionalFormatting xmlns:xm="http://schemas.microsoft.com/office/excel/2006/main">
          <x14:cfRule type="containsText" priority="16" operator="containsText" id="{AA3E3D10-9970-4639-8472-57103814AA75}">
            <xm:f>NOT(ISERROR(SEARCH(Datasheet!$A$3,D68)))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id="{627D7CA2-1943-4FD8-B213-AFFA96A12DDE}">
            <xm:f>NOT(ISERROR(SEARCH(Datasheet!$A$5,D68)))</xm:f>
            <xm:f>Datasheet!$A$5</xm:f>
            <x14:dxf>
              <font>
                <color rgb="FF9C0006"/>
              </font>
            </x14:dxf>
          </x14:cfRule>
          <xm:sqref>D68</xm:sqref>
        </x14:conditionalFormatting>
        <x14:conditionalFormatting xmlns:xm="http://schemas.microsoft.com/office/excel/2006/main">
          <x14:cfRule type="containsText" priority="18" operator="containsText" id="{B33A4BDB-7CFB-4749-AFAB-DB445FCCC123}">
            <xm:f>NOT(ISERROR(SEARCH(Datasheet!$A$3,D69)))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" operator="containsText" id="{262059FD-C4BD-49E8-B8B5-729FDE94637B}">
            <xm:f>NOT(ISERROR(SEARCH(Datasheet!$A$5,D69)))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D69</xm:sqref>
        </x14:conditionalFormatting>
        <x14:conditionalFormatting xmlns:xm="http://schemas.microsoft.com/office/excel/2006/main">
          <x14:cfRule type="containsText" priority="20" operator="containsText" id="{31AF47C2-746A-48C4-8B70-B726EA3C56EC}">
            <xm:f>NOT(ISERROR(SEARCH(Datasheet!$A$3,D71)))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1" operator="containsText" id="{DB1ED16A-45C5-4BE8-BCAE-A3B0D8001E4B}">
            <xm:f>NOT(ISERROR(SEARCH(Datasheet!$A$5,D71)))</xm:f>
            <xm:f>Datasheet!$A$5</xm:f>
            <x14:dxf>
              <font>
                <color rgb="FF9C0006"/>
              </font>
            </x14:dxf>
          </x14:cfRule>
          <xm:sqref>D71</xm:sqref>
        </x14:conditionalFormatting>
        <x14:conditionalFormatting xmlns:xm="http://schemas.microsoft.com/office/excel/2006/main">
          <x14:cfRule type="containsText" priority="22" operator="containsText" id="{B070C170-AF2E-4879-9396-5CBAF2212AF6}">
            <xm:f>NOT(ISERROR(SEARCH(Datasheet!$A$3,D73)))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" operator="containsText" id="{7B4BFC6B-29ED-4673-8900-D2F48CD3776B}">
            <xm:f>NOT(ISERROR(SEARCH(Datasheet!$A$5,D73)))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ontainsText" priority="24" operator="containsText" id="{5347F2F7-9D40-452B-8175-9CC6FB8D6990}">
            <xm:f>NOT(ISERROR(SEARCH(Datasheet!$A$3,D75)))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5" operator="containsText" id="{EB19E9D0-8B3A-40B5-A551-B0A05D2EA0D6}">
            <xm:f>NOT(ISERROR(SEARCH(Datasheet!$A$5,D75)))</xm:f>
            <xm:f>Datasheet!$A$5</xm:f>
            <x14:dxf>
              <font>
                <color rgb="FF9C0006"/>
              </font>
            </x14:dxf>
          </x14:cfRule>
          <xm:sqref>D75</xm:sqref>
        </x14:conditionalFormatting>
        <x14:conditionalFormatting xmlns:xm="http://schemas.microsoft.com/office/excel/2006/main">
          <x14:cfRule type="containsText" priority="26" operator="containsText" id="{D290D0F2-A0B8-4E75-A386-FBE2F15966B9}">
            <xm:f>NOT(ISERROR(SEARCH(Datasheet!$A$3,D76)))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7DC15EB7-44E2-42A9-A588-6D5E83A74BA9}">
            <xm:f>NOT(ISERROR(SEARCH(Datasheet!$A$5,D76)))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D76:D80</xm:sqref>
        </x14:conditionalFormatting>
        <x14:conditionalFormatting xmlns:xm="http://schemas.microsoft.com/office/excel/2006/main">
          <x14:cfRule type="containsText" priority="28" operator="containsText" id="{C254F179-9A1F-4B64-AD45-2C9451A4905E}">
            <xm:f>NOT(ISERROR(SEARCH(Datasheet!$A$3,D82)))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id="{A75F1121-2A4C-42FA-9B78-356C46C01427}">
            <xm:f>NOT(ISERROR(SEARCH(Datasheet!$A$5,D82)))</xm:f>
            <xm:f>Datasheet!$A$5</xm:f>
            <x14:dxf>
              <font>
                <color rgb="FF9C0006"/>
              </font>
            </x14:dxf>
          </x14:cfRule>
          <xm:sqref>D82</xm:sqref>
        </x14:conditionalFormatting>
        <x14:conditionalFormatting xmlns:xm="http://schemas.microsoft.com/office/excel/2006/main">
          <x14:cfRule type="containsText" priority="30" operator="containsText" id="{4385234E-EFD0-4A88-BAD1-2B12FE21EE1E}">
            <xm:f>NOT(ISERROR(SEARCH(Datasheet!$A$3,D83)))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" operator="containsText" id="{6500384E-EB60-4461-8FE2-7CDC20B1EC7E}">
            <xm:f>NOT(ISERROR(SEARCH(Datasheet!$A$5,D83)))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D83</xm:sqref>
        </x14:conditionalFormatting>
        <x14:conditionalFormatting xmlns:xm="http://schemas.microsoft.com/office/excel/2006/main">
          <x14:cfRule type="containsText" priority="32" operator="containsText" id="{F0C52939-D991-42F0-8620-2000D568FFA8}">
            <xm:f>NOT(ISERROR(SEARCH(Datasheet!$A$3,D85)))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3" operator="containsText" id="{37BE6610-1046-4537-A4CA-1788A6C0CC7F}">
            <xm:f>NOT(ISERROR(SEARCH(Datasheet!$A$5,D85)))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D85</xm:sqref>
        </x14:conditionalFormatting>
        <x14:conditionalFormatting xmlns:xm="http://schemas.microsoft.com/office/excel/2006/main">
          <x14:cfRule type="containsText" priority="34" operator="containsText" id="{5E26A8CA-FC6E-434D-ADD3-1F971DE63C27}">
            <xm:f>NOT(ISERROR(SEARCH(Datasheet!$A$3,D87)))</xm:f>
            <xm:f>Datasheet!$A$3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14:cfRule type="containsText" priority="35" operator="containsText" id="{20EE4B24-2882-4F39-A61E-AFBB275CB584}">
            <xm:f>NOT(ISERROR(SEARCH(Datasheet!$A$5,D87)))</xm:f>
            <xm:f>Datasheet!$A$5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D87</xm:sqref>
        </x14:conditionalFormatting>
        <x14:conditionalFormatting xmlns:xm="http://schemas.microsoft.com/office/excel/2006/main">
          <x14:cfRule type="containsText" priority="36" operator="containsText" id="{CA6D1945-3B40-4656-9F36-5DE76810E095}">
            <xm:f>NOT(ISERROR(SEARCH(Datasheet!$A$3,D89)))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7" operator="containsText" id="{3D6CDCA9-E313-41C8-B3AC-9A70E572F1FA}">
            <xm:f>NOT(ISERROR(SEARCH(Datasheet!$A$5,D89)))</xm:f>
            <xm:f>Datasheet!$A$5</xm:f>
            <x14:dxf>
              <font>
                <color rgb="FFFFFFFF"/>
              </font>
              <fill>
                <patternFill>
                  <bgColor theme="9" tint="-0.249977111117893"/>
                </patternFill>
              </fill>
            </x14:dxf>
          </x14:cfRule>
          <xm:sqref>D89</xm:sqref>
        </x14:conditionalFormatting>
        <x14:conditionalFormatting xmlns:xm="http://schemas.microsoft.com/office/excel/2006/main">
          <x14:cfRule type="containsText" priority="38" operator="containsText" id="{6F1B90B8-7190-4A6E-A7C2-903B13DDF36D}">
            <xm:f>NOT(ISERROR(SEARCH(Datasheet!$A$3,D91)))</xm:f>
            <xm:f>Datasheet!$A$3</xm:f>
            <x14:dxf>
              <font>
                <color rgb="FFFFFFFF"/>
              </font>
              <fill>
                <patternFill>
                  <bgColor rgb="FFC00000"/>
                </patternFill>
              </fill>
            </x14:dxf>
          </x14:cfRule>
          <x14:cfRule type="containsText" priority="39" operator="containsText" id="{8444EBDC-CBC7-4C93-9785-403126E05EEF}">
            <xm:f>NOT(ISERROR(SEARCH(Datasheet!$A$5,D91)))</xm:f>
            <xm:f>Datasheet!$A$5</xm:f>
            <x14:dxf>
              <font>
                <color rgb="FFFFFFFF"/>
              </font>
              <fill>
                <patternFill>
                  <bgColor theme="9" tint="-0.249977111117893"/>
                </patternFill>
              </fill>
            </x14:dxf>
          </x14:cfRule>
          <xm:sqref>D91</xm:sqref>
        </x14:conditionalFormatting>
        <x14:conditionalFormatting xmlns:xm="http://schemas.microsoft.com/office/excel/2006/main">
          <x14:cfRule type="containsText" priority="40" operator="containsText" id="{F4A88E65-5911-4E30-B0D2-B9E243D13A78}">
            <xm:f>NOT(ISERROR(SEARCH(Datasheet!$A$3,D92)))</xm:f>
            <xm:f>Datasheet!$A$3</xm:f>
            <x14:dxf>
              <font>
                <color rgb="FFFFFFFF"/>
              </font>
              <fill>
                <patternFill>
                  <bgColor rgb="FFC00000"/>
                </patternFill>
              </fill>
            </x14:dxf>
          </x14:cfRule>
          <x14:cfRule type="containsText" priority="41" operator="containsText" id="{AF9355D4-5822-41A8-881D-49CBAAEF2833}">
            <xm:f>NOT(ISERROR(SEARCH(Datasheet!$A$5,D92)))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D92</xm:sqref>
        </x14:conditionalFormatting>
        <x14:conditionalFormatting xmlns:xm="http://schemas.microsoft.com/office/excel/2006/main">
          <x14:cfRule type="containsText" priority="42" operator="containsText" id="{F2C8AB55-413F-4E4C-BD5A-6A365EF474D6}">
            <xm:f>NOT(ISERROR(SEARCH(Datasheet!$A$3,D93)))</xm:f>
            <xm:f>Datasheet!$A$3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14:cfRule type="containsText" priority="43" operator="containsText" id="{98F516F4-4947-4823-915C-73C3C0A1F1BF}">
            <xm:f>NOT(ISERROR(SEARCH(Datasheet!$A$5,D93)))</xm:f>
            <xm:f>Datasheet!$A$5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D93</xm:sqref>
        </x14:conditionalFormatting>
        <x14:conditionalFormatting xmlns:xm="http://schemas.microsoft.com/office/excel/2006/main">
          <x14:cfRule type="containsText" priority="44" operator="containsText" id="{4917646D-EBC8-4FB1-A6DD-2422E734CF63}">
            <xm:f>NOT(ISERROR(SEARCH(Datasheet!$A$3,D95)))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5" operator="containsText" id="{9172FDAD-86C1-40BD-B75D-BA45EEF8EB31}">
            <xm:f>NOT(ISERROR(SEARCH(Datasheet!$A$5,D95)))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D95</xm:sqref>
        </x14:conditionalFormatting>
        <x14:conditionalFormatting xmlns:xm="http://schemas.microsoft.com/office/excel/2006/main">
          <x14:cfRule type="containsText" priority="46" operator="containsText" id="{9C0068FB-AC50-48F5-B7B3-2E7319469C22}">
            <xm:f>NOT(ISERROR(SEARCH(Datasheet!$A$3,D96)))</xm:f>
            <xm:f>Datasheet!$A$3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14:cfRule type="containsText" priority="47" operator="containsText" id="{2EB9F45A-1074-48AD-B2BF-624AAEB02820}">
            <xm:f>NOT(ISERROR(SEARCH(Datasheet!$A$5,D96)))</xm:f>
            <xm:f>Datasheet!$A$5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D96</xm:sqref>
        </x14:conditionalFormatting>
        <x14:conditionalFormatting xmlns:xm="http://schemas.microsoft.com/office/excel/2006/main">
          <x14:cfRule type="containsText" priority="48" operator="containsText" id="{3381BD21-7425-4759-BA7F-B562AED5544A}">
            <xm:f>NOT(ISERROR(SEARCH(Datasheet!$A$3,D97)))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9" operator="containsText" id="{E5BC16F3-CC10-4053-8928-B25C7124D747}">
            <xm:f>NOT(ISERROR(SEARCH(Datasheet!$A$5,D97)))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D97</xm:sqref>
        </x14:conditionalFormatting>
        <x14:conditionalFormatting xmlns:xm="http://schemas.microsoft.com/office/excel/2006/main">
          <x14:cfRule type="containsText" priority="50" operator="containsText" id="{EF242996-D1A6-44EC-8510-6C6AF6E51058}">
            <xm:f>NOT(ISERROR(SEARCH(Datasheet!$A$3,D98)))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1" operator="containsText" id="{165BB0E5-C080-48D3-98BC-9BA4DC91F0F3}">
            <xm:f>NOT(ISERROR(SEARCH(Datasheet!$A$5,D98)))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D98</xm:sqref>
        </x14:conditionalFormatting>
        <x14:conditionalFormatting xmlns:xm="http://schemas.microsoft.com/office/excel/2006/main">
          <x14:cfRule type="containsText" priority="52" operator="containsText" id="{44328483-656B-46C6-9F3D-CC609E5DACA4}">
            <xm:f>NOT(ISERROR(SEARCH(Datasheet!$A$3,D100)))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3" operator="containsText" id="{9E8DBA42-E7AF-4051-866E-F46DF066351D}">
            <xm:f>NOT(ISERROR(SEARCH(Datasheet!$A$5,D100)))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ontainsText" priority="54" operator="containsText" id="{6678A285-8B83-4F44-B4FB-7E1E40758785}">
            <xm:f>NOT(ISERROR(SEARCH(Datasheet!$A$3,D101)))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5" operator="containsText" id="{3C6A9478-A94A-4941-BCB1-3264921984F7}">
            <xm:f>NOT(ISERROR(SEARCH(Datasheet!$A$5,D101)))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D101:D104</xm:sqref>
        </x14:conditionalFormatting>
        <x14:conditionalFormatting xmlns:xm="http://schemas.microsoft.com/office/excel/2006/main">
          <x14:cfRule type="containsText" priority="56" operator="containsText" id="{7E942843-EF3F-4FB3-A3AF-CAB084702D3A}">
            <xm:f>NOT(ISERROR(SEARCH(Datasheet!$A$3,D106)))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7" operator="containsText" id="{5684144E-30AC-4B37-BF80-946DE2EE92AC}">
            <xm:f>NOT(ISERROR(SEARCH(Datasheet!$A$5,D106)))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D106</xm:sqref>
        </x14:conditionalFormatting>
        <x14:conditionalFormatting xmlns:xm="http://schemas.microsoft.com/office/excel/2006/main">
          <x14:cfRule type="containsText" priority="58" operator="containsText" id="{F1C64956-1AF5-4530-9C47-7646E3C33270}">
            <xm:f>NOT(ISERROR(SEARCH(Datasheet!$A$3,D107)))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9" operator="containsText" id="{7FF6933F-20CE-4720-8769-E2EB50C8748E}">
            <xm:f>NOT(ISERROR(SEARCH(Datasheet!$A$5,D107)))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D107</xm:sqref>
        </x14:conditionalFormatting>
        <x14:conditionalFormatting xmlns:xm="http://schemas.microsoft.com/office/excel/2006/main">
          <x14:cfRule type="containsText" priority="60" operator="containsText" id="{4B50ECE8-95F9-4963-85F3-F49872F74A26}">
            <xm:f>NOT(ISERROR(SEARCH(Datasheet!$A$3,D109)))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1" operator="containsText" id="{3C20EAF7-DC72-41DE-A86C-CCD095D871D7}">
            <xm:f>NOT(ISERROR(SEARCH(Datasheet!$A$5,D109)))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D109</xm:sqref>
        </x14:conditionalFormatting>
        <x14:conditionalFormatting xmlns:xm="http://schemas.microsoft.com/office/excel/2006/main">
          <x14:cfRule type="containsText" priority="62" operator="containsText" id="{A0487424-A96C-42AD-B548-6EFE6052A1D3}">
            <xm:f>NOT(ISERROR(SEARCH(Datasheet!$A$3,D110)))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3" operator="containsText" id="{63605F10-F066-4931-A3D0-FDCF637470D2}">
            <xm:f>NOT(ISERROR(SEARCH(Datasheet!$A$5,D110)))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D110</xm:sqref>
        </x14:conditionalFormatting>
        <x14:conditionalFormatting xmlns:xm="http://schemas.microsoft.com/office/excel/2006/main">
          <x14:cfRule type="containsText" priority="64" operator="containsText" id="{A393308A-341B-42C9-9A48-3C74AE4F40C0}">
            <xm:f>NOT(ISERROR(SEARCH(Datasheet!$A$3,D111)))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5" operator="containsText" id="{8D5562F9-1933-4449-B4F6-2E7ECC3DCBC6}">
            <xm:f>NOT(ISERROR(SEARCH(Datasheet!$A$5,D111)))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D111</xm:sqref>
        </x14:conditionalFormatting>
        <x14:conditionalFormatting xmlns:xm="http://schemas.microsoft.com/office/excel/2006/main">
          <x14:cfRule type="containsText" priority="66" operator="containsText" id="{20A54054-60B1-44D5-A3E5-A0B06B271DEB}">
            <xm:f>NOT(ISERROR(SEARCH(Datasheet!$A$3,D112)))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7" operator="containsText" id="{D8A65818-1BF2-485E-A96D-52BFFF2F82B6}">
            <xm:f>NOT(ISERROR(SEARCH(Datasheet!$A$5,D112)))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D112</xm:sqref>
        </x14:conditionalFormatting>
        <x14:conditionalFormatting xmlns:xm="http://schemas.microsoft.com/office/excel/2006/main">
          <x14:cfRule type="containsText" priority="68" operator="containsText" id="{C224F557-3EE1-4A28-B177-8D94FCCD4B6D}">
            <xm:f>NOT(ISERROR(SEARCH(Datasheet!$A$3,D114)))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9" operator="containsText" id="{2B005C9B-7E6F-4F4D-8818-A3D3E947C9AC}">
            <xm:f>NOT(ISERROR(SEARCH(Datasheet!$A$5,D114)))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D114</xm:sqref>
        </x14:conditionalFormatting>
        <x14:conditionalFormatting xmlns:xm="http://schemas.microsoft.com/office/excel/2006/main">
          <x14:cfRule type="containsText" priority="70" operator="containsText" id="{9438A2FE-81EE-4DA9-A369-2991C4A9312A}">
            <xm:f>NOT(ISERROR(SEARCH(Datasheet!$A$3,D115)))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71" operator="containsText" id="{253739D6-369E-4B65-B7E8-EB1840ACD05A}">
            <xm:f>NOT(ISERROR(SEARCH(Datasheet!$A$5,D115)))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D115</xm:sqref>
        </x14:conditionalFormatting>
        <x14:conditionalFormatting xmlns:xm="http://schemas.microsoft.com/office/excel/2006/main">
          <x14:cfRule type="containsText" priority="72" operator="containsText" id="{74163090-A74B-4619-A35D-B8FC83A360AC}">
            <xm:f>NOT(ISERROR(SEARCH(Datasheet!$A$3,D116)))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73" operator="containsText" id="{D25C75ED-F7FD-4B6E-991C-52603AE36D46}">
            <xm:f>NOT(ISERROR(SEARCH(Datasheet!$A$5,D116)))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D116</xm:sqref>
        </x14:conditionalFormatting>
        <x14:conditionalFormatting xmlns:xm="http://schemas.microsoft.com/office/excel/2006/main">
          <x14:cfRule type="containsText" priority="74" operator="containsText" id="{614D6EEA-5D7D-4BFA-8FCE-8864232FB642}">
            <xm:f>NOT(ISERROR(SEARCH(Datasheet!$A$3,D118)))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75" operator="containsText" id="{E0B2AB9F-63CF-48E0-88D4-AD63D1A213F2}">
            <xm:f>NOT(ISERROR(SEARCH(Datasheet!$A$5,D118)))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D118</xm:sqref>
        </x14:conditionalFormatting>
        <x14:conditionalFormatting xmlns:xm="http://schemas.microsoft.com/office/excel/2006/main">
          <x14:cfRule type="containsText" priority="76" operator="containsText" id="{30D6C22A-A892-49E2-B387-5C6781E94365}">
            <xm:f>NOT(ISERROR(SEARCH(Datasheet!$A$3,D120)))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77" operator="containsText" id="{E8F8B953-FC3F-4073-8773-BFCEEA4EC6D7}">
            <xm:f>NOT(ISERROR(SEARCH(Datasheet!$A$5,D120)))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D120</xm:sqref>
        </x14:conditionalFormatting>
        <x14:conditionalFormatting xmlns:xm="http://schemas.microsoft.com/office/excel/2006/main">
          <x14:cfRule type="containsText" priority="78" operator="containsText" id="{A98A321B-393D-4E30-B24F-609EA39F6B4C}">
            <xm:f>NOT(ISERROR(SEARCH(Datasheet!$A$3,D122)))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79" operator="containsText" id="{FD6F9CCC-8554-4A80-A191-EC2E2ED8DFE0}">
            <xm:f>NOT(ISERROR(SEARCH(Datasheet!$A$5,D122)))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D122</xm:sqref>
        </x14:conditionalFormatting>
        <x14:conditionalFormatting xmlns:xm="http://schemas.microsoft.com/office/excel/2006/main">
          <x14:cfRule type="containsText" priority="80" operator="containsText" id="{4734F028-C45A-49FA-86BE-B55E611130C4}">
            <xm:f>NOT(ISERROR(SEARCH(Datasheet!$A$3,D123)))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81" operator="containsText" id="{64E8D2E2-80B2-405B-80E3-E6154773EFAE}">
            <xm:f>NOT(ISERROR(SEARCH(Datasheet!$A$5,D123)))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D123</xm:sqref>
        </x14:conditionalFormatting>
        <x14:conditionalFormatting xmlns:xm="http://schemas.microsoft.com/office/excel/2006/main">
          <x14:cfRule type="containsText" priority="82" operator="containsText" id="{92995B82-29BD-48C5-BCF1-D86253F3C76D}">
            <xm:f>NOT(ISERROR(SEARCH(Datasheet!$A$3,D124)))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83" operator="containsText" id="{D82082A2-65A6-45B5-8D6A-5C77722DCE36}">
            <xm:f>NOT(ISERROR(SEARCH(Datasheet!$A$5,D124)))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D124</xm:sqref>
        </x14:conditionalFormatting>
        <x14:conditionalFormatting xmlns:xm="http://schemas.microsoft.com/office/excel/2006/main">
          <x14:cfRule type="containsText" priority="84" operator="containsText" id="{83AF14B9-E336-48B9-BC19-2130501CBA35}">
            <xm:f>NOT(ISERROR(SEARCH(Datasheet!$A$3,D126)))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85" operator="containsText" id="{4FE92290-BAAC-45E7-8FDB-BAAFBAAF2940}">
            <xm:f>NOT(ISERROR(SEARCH(Datasheet!$A$5,D126)))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D126:D129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zoomScaleNormal="100" workbookViewId="0">
      <pane ySplit="2" topLeftCell="A3" activePane="bottomLeft" state="frozen"/>
      <selection pane="bottomLeft" activeCell="F20" sqref="F20:F22"/>
    </sheetView>
  </sheetViews>
  <sheetFormatPr defaultColWidth="9.140625" defaultRowHeight="15.75"/>
  <cols>
    <col min="1" max="1" width="9.5703125" style="117" customWidth="1"/>
    <col min="2" max="2" width="68.85546875" style="117" customWidth="1"/>
    <col min="3" max="3" width="56" style="117" customWidth="1"/>
    <col min="4" max="4" width="33.28515625" style="117" customWidth="1"/>
    <col min="5" max="6" width="24.140625" style="117" customWidth="1"/>
    <col min="7" max="7" width="23.28515625" style="118" customWidth="1"/>
    <col min="8" max="8" width="20" style="117" customWidth="1"/>
    <col min="9" max="9" width="19.140625" style="117" customWidth="1"/>
    <col min="10" max="10" width="9.140625" style="117"/>
    <col min="11" max="11" width="11.140625" style="117" customWidth="1"/>
    <col min="12" max="16384" width="9.140625" style="117"/>
  </cols>
  <sheetData>
    <row r="1" spans="1:7">
      <c r="A1" s="145" t="s">
        <v>51</v>
      </c>
      <c r="B1" s="145" t="s">
        <v>52</v>
      </c>
      <c r="C1" s="145" t="s">
        <v>53</v>
      </c>
      <c r="D1" s="145" t="s">
        <v>54</v>
      </c>
      <c r="E1" s="145" t="s">
        <v>55</v>
      </c>
      <c r="F1" s="144" t="s">
        <v>14</v>
      </c>
      <c r="G1" s="120"/>
    </row>
    <row r="2" spans="1:7">
      <c r="A2" s="145"/>
      <c r="B2" s="145"/>
      <c r="C2" s="145"/>
      <c r="D2" s="145"/>
      <c r="E2" s="145"/>
      <c r="F2" s="144"/>
      <c r="G2" s="120"/>
    </row>
    <row r="3" spans="1:7" ht="64.5">
      <c r="A3" s="115" t="s">
        <v>56</v>
      </c>
      <c r="B3" s="92" t="s">
        <v>57</v>
      </c>
      <c r="C3" s="92" t="s">
        <v>58</v>
      </c>
      <c r="D3" s="97" t="s">
        <v>59</v>
      </c>
      <c r="E3" s="114">
        <v>1</v>
      </c>
      <c r="F3" s="103" t="s">
        <v>18</v>
      </c>
    </row>
    <row r="4" spans="1:7" ht="48.75">
      <c r="A4" s="115" t="s">
        <v>60</v>
      </c>
      <c r="B4" s="92" t="s">
        <v>61</v>
      </c>
      <c r="C4" s="92" t="s">
        <v>62</v>
      </c>
      <c r="D4" s="98" t="s">
        <v>63</v>
      </c>
      <c r="E4" s="114">
        <v>1</v>
      </c>
      <c r="F4" s="103" t="s">
        <v>18</v>
      </c>
    </row>
    <row r="5" spans="1:7" ht="32.25">
      <c r="A5" s="115" t="s">
        <v>64</v>
      </c>
      <c r="B5" s="92" t="s">
        <v>65</v>
      </c>
      <c r="C5" s="92" t="s">
        <v>66</v>
      </c>
      <c r="D5" s="98" t="s">
        <v>63</v>
      </c>
      <c r="E5" s="114">
        <v>1</v>
      </c>
      <c r="F5" s="103" t="s">
        <v>18</v>
      </c>
    </row>
    <row r="6" spans="1:7" ht="48.75">
      <c r="A6" s="115" t="s">
        <v>67</v>
      </c>
      <c r="B6" s="92" t="s">
        <v>68</v>
      </c>
      <c r="C6" s="92" t="s">
        <v>69</v>
      </c>
      <c r="D6" s="98" t="s">
        <v>63</v>
      </c>
      <c r="E6" s="114">
        <v>1</v>
      </c>
      <c r="F6" s="103" t="s">
        <v>18</v>
      </c>
    </row>
    <row r="7" spans="1:7" ht="48.75">
      <c r="A7" s="115" t="s">
        <v>70</v>
      </c>
      <c r="B7" s="92" t="s">
        <v>71</v>
      </c>
      <c r="C7" s="92" t="s">
        <v>72</v>
      </c>
      <c r="D7" s="99" t="s">
        <v>73</v>
      </c>
      <c r="E7" s="114">
        <v>1</v>
      </c>
      <c r="F7" s="103" t="s">
        <v>18</v>
      </c>
    </row>
    <row r="8" spans="1:7" ht="64.5">
      <c r="A8" s="115" t="s">
        <v>74</v>
      </c>
      <c r="B8" s="92" t="s">
        <v>75</v>
      </c>
      <c r="C8" s="92" t="s">
        <v>76</v>
      </c>
      <c r="D8" s="97" t="s">
        <v>59</v>
      </c>
      <c r="E8" s="114">
        <v>1</v>
      </c>
      <c r="F8" s="103" t="s">
        <v>18</v>
      </c>
    </row>
    <row r="9" spans="1:7" ht="48.75">
      <c r="A9" s="115" t="s">
        <v>77</v>
      </c>
      <c r="B9" s="92" t="s">
        <v>78</v>
      </c>
      <c r="C9" s="92" t="s">
        <v>79</v>
      </c>
      <c r="D9" s="97" t="s">
        <v>59</v>
      </c>
      <c r="E9" s="114">
        <v>1</v>
      </c>
      <c r="F9" s="103" t="s">
        <v>18</v>
      </c>
    </row>
    <row r="10" spans="1:7" ht="48.75">
      <c r="A10" s="115" t="s">
        <v>80</v>
      </c>
      <c r="B10" s="92" t="s">
        <v>81</v>
      </c>
      <c r="C10" s="92" t="s">
        <v>82</v>
      </c>
      <c r="D10" s="98" t="s">
        <v>63</v>
      </c>
      <c r="E10" s="114">
        <v>1</v>
      </c>
      <c r="F10" s="103" t="s">
        <v>18</v>
      </c>
    </row>
    <row r="11" spans="1:7" ht="48.75">
      <c r="A11" s="115" t="s">
        <v>83</v>
      </c>
      <c r="B11" s="92" t="s">
        <v>84</v>
      </c>
      <c r="C11" s="93" t="s">
        <v>85</v>
      </c>
      <c r="D11" s="98" t="s">
        <v>63</v>
      </c>
      <c r="E11" s="114">
        <v>1</v>
      </c>
      <c r="F11" s="103" t="s">
        <v>18</v>
      </c>
    </row>
    <row r="12" spans="1:7" ht="48.75">
      <c r="A12" s="115" t="s">
        <v>86</v>
      </c>
      <c r="B12" s="93" t="s">
        <v>87</v>
      </c>
      <c r="C12" s="93" t="s">
        <v>88</v>
      </c>
      <c r="D12" s="97" t="s">
        <v>59</v>
      </c>
      <c r="E12" s="114">
        <v>1</v>
      </c>
      <c r="F12" s="103" t="s">
        <v>18</v>
      </c>
    </row>
    <row r="13" spans="1:7" ht="48.75">
      <c r="A13" s="115" t="s">
        <v>89</v>
      </c>
      <c r="B13" s="93" t="s">
        <v>90</v>
      </c>
      <c r="C13" s="93" t="s">
        <v>91</v>
      </c>
      <c r="D13" s="97" t="s">
        <v>59</v>
      </c>
      <c r="E13" s="114">
        <v>1</v>
      </c>
      <c r="F13" s="103" t="s">
        <v>18</v>
      </c>
    </row>
    <row r="14" spans="1:7" ht="48.75">
      <c r="A14" s="115" t="s">
        <v>92</v>
      </c>
      <c r="B14" s="94" t="s">
        <v>93</v>
      </c>
      <c r="C14" s="93" t="s">
        <v>94</v>
      </c>
      <c r="D14" s="98" t="s">
        <v>63</v>
      </c>
      <c r="E14" s="114">
        <v>1</v>
      </c>
      <c r="F14" s="103" t="s">
        <v>18</v>
      </c>
    </row>
    <row r="15" spans="1:7" ht="48.75">
      <c r="A15" s="115" t="s">
        <v>95</v>
      </c>
      <c r="B15" s="93" t="s">
        <v>96</v>
      </c>
      <c r="C15" s="93" t="s">
        <v>72</v>
      </c>
      <c r="D15" s="99" t="s">
        <v>73</v>
      </c>
      <c r="E15" s="114">
        <v>1</v>
      </c>
      <c r="F15" s="103" t="s">
        <v>18</v>
      </c>
    </row>
    <row r="16" spans="1:7" ht="48.75">
      <c r="A16" s="115" t="s">
        <v>97</v>
      </c>
      <c r="B16" s="93" t="s">
        <v>98</v>
      </c>
      <c r="C16" s="93" t="s">
        <v>99</v>
      </c>
      <c r="D16" s="99" t="s">
        <v>73</v>
      </c>
      <c r="E16" s="114">
        <v>1</v>
      </c>
      <c r="F16" s="103" t="s">
        <v>18</v>
      </c>
    </row>
    <row r="17" spans="1:9" ht="32.25">
      <c r="A17" s="115" t="s">
        <v>100</v>
      </c>
      <c r="B17" s="93" t="s">
        <v>101</v>
      </c>
      <c r="C17" s="93" t="s">
        <v>102</v>
      </c>
      <c r="D17" s="98" t="s">
        <v>63</v>
      </c>
      <c r="E17" s="114">
        <v>1</v>
      </c>
      <c r="F17" s="103" t="s">
        <v>18</v>
      </c>
    </row>
    <row r="18" spans="1:9" ht="48.75">
      <c r="A18" s="115" t="s">
        <v>103</v>
      </c>
      <c r="B18" s="93" t="s">
        <v>104</v>
      </c>
      <c r="C18" s="93" t="s">
        <v>105</v>
      </c>
      <c r="D18" s="97" t="s">
        <v>59</v>
      </c>
      <c r="E18" s="114">
        <v>1</v>
      </c>
      <c r="F18" s="103" t="s">
        <v>18</v>
      </c>
      <c r="I18" s="119"/>
    </row>
    <row r="19" spans="1:9" ht="48.75">
      <c r="A19" s="115" t="s">
        <v>106</v>
      </c>
      <c r="B19" s="93" t="s">
        <v>107</v>
      </c>
      <c r="C19" s="93" t="s">
        <v>108</v>
      </c>
      <c r="D19" s="97" t="s">
        <v>59</v>
      </c>
      <c r="E19" s="114">
        <v>1</v>
      </c>
      <c r="F19" s="103" t="s">
        <v>18</v>
      </c>
    </row>
    <row r="20" spans="1:9" ht="48.75">
      <c r="A20" s="115" t="s">
        <v>109</v>
      </c>
      <c r="B20" s="93" t="s">
        <v>110</v>
      </c>
      <c r="C20" s="93" t="s">
        <v>111</v>
      </c>
      <c r="D20" s="99" t="s">
        <v>73</v>
      </c>
      <c r="E20" s="114">
        <v>1</v>
      </c>
      <c r="F20" s="103" t="s">
        <v>18</v>
      </c>
    </row>
    <row r="21" spans="1:9" ht="48.75">
      <c r="A21" s="115" t="s">
        <v>112</v>
      </c>
      <c r="B21" s="92" t="s">
        <v>113</v>
      </c>
      <c r="C21" s="95" t="s">
        <v>114</v>
      </c>
      <c r="D21" s="98" t="s">
        <v>63</v>
      </c>
      <c r="E21" s="114">
        <v>1</v>
      </c>
      <c r="F21" s="103" t="s">
        <v>18</v>
      </c>
    </row>
    <row r="22" spans="1:9" ht="32.25">
      <c r="A22" s="115" t="s">
        <v>115</v>
      </c>
      <c r="B22" s="118" t="s">
        <v>116</v>
      </c>
      <c r="C22" s="118" t="s">
        <v>117</v>
      </c>
      <c r="D22" s="98" t="s">
        <v>63</v>
      </c>
      <c r="E22" s="114">
        <v>1</v>
      </c>
      <c r="F22" s="103" t="s">
        <v>18</v>
      </c>
    </row>
    <row r="23" spans="1:9" ht="48.75">
      <c r="A23" s="115" t="s">
        <v>118</v>
      </c>
      <c r="B23" s="117" t="s">
        <v>119</v>
      </c>
      <c r="C23" s="117" t="s">
        <v>120</v>
      </c>
      <c r="D23" s="99" t="s">
        <v>73</v>
      </c>
      <c r="E23" s="114">
        <v>1</v>
      </c>
      <c r="F23" s="103" t="s">
        <v>18</v>
      </c>
    </row>
    <row r="27" spans="1:9">
      <c r="F27" s="118"/>
    </row>
    <row r="28" spans="1:9">
      <c r="F28" s="118"/>
    </row>
    <row r="29" spans="1:9" ht="15.75" customHeight="1">
      <c r="F29" s="118"/>
    </row>
    <row r="30" spans="1:9">
      <c r="F30" s="118"/>
    </row>
    <row r="31" spans="1:9">
      <c r="F31" s="118"/>
    </row>
    <row r="32" spans="1:9" ht="15.75" customHeight="1">
      <c r="F32" s="118"/>
    </row>
    <row r="33" spans="6:6">
      <c r="F33" s="118"/>
    </row>
    <row r="34" spans="6:6">
      <c r="F34" s="118"/>
    </row>
    <row r="35" spans="6:6">
      <c r="F35" s="118"/>
    </row>
    <row r="36" spans="6:6">
      <c r="F36" s="118"/>
    </row>
    <row r="37" spans="6:6">
      <c r="F37" s="118"/>
    </row>
    <row r="38" spans="6:6">
      <c r="F38" s="118"/>
    </row>
    <row r="39" spans="6:6">
      <c r="F39" s="118"/>
    </row>
    <row r="40" spans="6:6">
      <c r="F40" s="118"/>
    </row>
    <row r="41" spans="6:6">
      <c r="F41" s="118"/>
    </row>
    <row r="42" spans="6:6">
      <c r="F42" s="118"/>
    </row>
  </sheetData>
  <mergeCells count="6">
    <mergeCell ref="F1:F2"/>
    <mergeCell ref="A1:A2"/>
    <mergeCell ref="B1:B2"/>
    <mergeCell ref="C1:C2"/>
    <mergeCell ref="D1:D2"/>
    <mergeCell ref="E1:E2"/>
  </mergeCells>
  <conditionalFormatting sqref="D16">
    <cfRule type="containsText" dxfId="183" priority="46" operator="containsText" text="Low">
      <formula>NOT(ISERROR(SEARCH("Low",D16)))</formula>
    </cfRule>
    <cfRule type="containsText" dxfId="182" priority="47" operator="containsText" text="Medium">
      <formula>NOT(ISERROR(SEARCH("Medium",D16)))</formula>
    </cfRule>
    <cfRule type="containsText" dxfId="181" priority="48" operator="containsText" text="High">
      <formula>NOT(ISERROR(SEARCH("High",D16)))</formula>
    </cfRule>
  </conditionalFormatting>
  <conditionalFormatting sqref="D20">
    <cfRule type="containsText" dxfId="180" priority="43" operator="containsText" text="Low">
      <formula>NOT(ISERROR(SEARCH("Low",D20)))</formula>
    </cfRule>
    <cfRule type="containsText" dxfId="179" priority="44" operator="containsText" text="Medium">
      <formula>NOT(ISERROR(SEARCH("Medium",D20)))</formula>
    </cfRule>
    <cfRule type="containsText" dxfId="178" priority="45" operator="containsText" text="High">
      <formula>NOT(ISERROR(SEARCH("High",D20)))</formula>
    </cfRule>
  </conditionalFormatting>
  <conditionalFormatting sqref="D23">
    <cfRule type="containsText" dxfId="177" priority="40" operator="containsText" text="Low">
      <formula>NOT(ISERROR(SEARCH("Low",D23)))</formula>
    </cfRule>
    <cfRule type="containsText" dxfId="176" priority="41" operator="containsText" text="Medium">
      <formula>NOT(ISERROR(SEARCH("Medium",D23)))</formula>
    </cfRule>
    <cfRule type="containsText" dxfId="175" priority="42" operator="containsText" text="High">
      <formula>NOT(ISERROR(SEARCH("High",D23)))</formula>
    </cfRule>
  </conditionalFormatting>
  <conditionalFormatting sqref="D15">
    <cfRule type="containsText" dxfId="174" priority="37" operator="containsText" text="Low">
      <formula>NOT(ISERROR(SEARCH("Low",D15)))</formula>
    </cfRule>
    <cfRule type="containsText" dxfId="173" priority="38" operator="containsText" text="Medium">
      <formula>NOT(ISERROR(SEARCH("Medium",D15)))</formula>
    </cfRule>
    <cfRule type="containsText" dxfId="172" priority="39" operator="containsText" text="High">
      <formula>NOT(ISERROR(SEARCH("High",D15)))</formula>
    </cfRule>
  </conditionalFormatting>
  <conditionalFormatting sqref="D7">
    <cfRule type="containsText" dxfId="171" priority="34" operator="containsText" text="Low">
      <formula>NOT(ISERROR(SEARCH("Low",D7)))</formula>
    </cfRule>
    <cfRule type="containsText" dxfId="170" priority="35" operator="containsText" text="Medium">
      <formula>NOT(ISERROR(SEARCH("Medium",D7)))</formula>
    </cfRule>
    <cfRule type="containsText" dxfId="169" priority="36" operator="containsText" text="High">
      <formula>NOT(ISERROR(SEARCH("High",D7)))</formula>
    </cfRule>
  </conditionalFormatting>
  <conditionalFormatting sqref="D4:D6">
    <cfRule type="containsText" dxfId="168" priority="31" operator="containsText" text="Low">
      <formula>NOT(ISERROR(SEARCH("Low",D4)))</formula>
    </cfRule>
    <cfRule type="containsText" dxfId="167" priority="32" operator="containsText" text="Medium">
      <formula>NOT(ISERROR(SEARCH("Medium",D4)))</formula>
    </cfRule>
    <cfRule type="containsText" dxfId="166" priority="33" operator="containsText" text="High">
      <formula>NOT(ISERROR(SEARCH("High",D4)))</formula>
    </cfRule>
  </conditionalFormatting>
  <conditionalFormatting sqref="D10:D11 D14">
    <cfRule type="containsText" dxfId="165" priority="28" operator="containsText" text="Low">
      <formula>NOT(ISERROR(SEARCH("Low",D10)))</formula>
    </cfRule>
    <cfRule type="containsText" dxfId="164" priority="29" operator="containsText" text="Medium">
      <formula>NOT(ISERROR(SEARCH("Medium",D10)))</formula>
    </cfRule>
    <cfRule type="containsText" dxfId="163" priority="30" operator="containsText" text="High">
      <formula>NOT(ISERROR(SEARCH("High",D10)))</formula>
    </cfRule>
  </conditionalFormatting>
  <conditionalFormatting sqref="D17">
    <cfRule type="containsText" dxfId="162" priority="25" operator="containsText" text="Low">
      <formula>NOT(ISERROR(SEARCH("Low",D17)))</formula>
    </cfRule>
    <cfRule type="containsText" dxfId="161" priority="26" operator="containsText" text="Medium">
      <formula>NOT(ISERROR(SEARCH("Medium",D17)))</formula>
    </cfRule>
    <cfRule type="containsText" dxfId="160" priority="27" operator="containsText" text="High">
      <formula>NOT(ISERROR(SEARCH("High",D17)))</formula>
    </cfRule>
  </conditionalFormatting>
  <conditionalFormatting sqref="D21:D22">
    <cfRule type="containsText" dxfId="159" priority="22" operator="containsText" text="Low">
      <formula>NOT(ISERROR(SEARCH("Low",D21)))</formula>
    </cfRule>
    <cfRule type="containsText" dxfId="158" priority="23" operator="containsText" text="Medium">
      <formula>NOT(ISERROR(SEARCH("Medium",D21)))</formula>
    </cfRule>
    <cfRule type="containsText" dxfId="157" priority="24" operator="containsText" text="High">
      <formula>NOT(ISERROR(SEARCH("High",D21)))</formula>
    </cfRule>
  </conditionalFormatting>
  <conditionalFormatting sqref="D3">
    <cfRule type="containsText" dxfId="156" priority="19" operator="containsText" text="Low">
      <formula>NOT(ISERROR(SEARCH("Low",D3)))</formula>
    </cfRule>
    <cfRule type="containsText" dxfId="155" priority="20" operator="containsText" text="Medium">
      <formula>NOT(ISERROR(SEARCH("Medium",D3)))</formula>
    </cfRule>
    <cfRule type="containsText" dxfId="154" priority="21" operator="containsText" text="High">
      <formula>NOT(ISERROR(SEARCH("High",D3)))</formula>
    </cfRule>
  </conditionalFormatting>
  <conditionalFormatting sqref="D8">
    <cfRule type="containsText" dxfId="153" priority="16" operator="containsText" text="Low">
      <formula>NOT(ISERROR(SEARCH("Low",D8)))</formula>
    </cfRule>
    <cfRule type="containsText" dxfId="152" priority="17" operator="containsText" text="Medium">
      <formula>NOT(ISERROR(SEARCH("Medium",D8)))</formula>
    </cfRule>
    <cfRule type="containsText" dxfId="151" priority="18" operator="containsText" text="High">
      <formula>NOT(ISERROR(SEARCH("High",D8)))</formula>
    </cfRule>
  </conditionalFormatting>
  <conditionalFormatting sqref="D9">
    <cfRule type="containsText" dxfId="150" priority="13" operator="containsText" text="Low">
      <formula>NOT(ISERROR(SEARCH("Low",D9)))</formula>
    </cfRule>
    <cfRule type="containsText" dxfId="149" priority="14" operator="containsText" text="Medium">
      <formula>NOT(ISERROR(SEARCH("Medium",D9)))</formula>
    </cfRule>
    <cfRule type="containsText" dxfId="148" priority="15" operator="containsText" text="High">
      <formula>NOT(ISERROR(SEARCH("High",D9)))</formula>
    </cfRule>
  </conditionalFormatting>
  <conditionalFormatting sqref="D12">
    <cfRule type="containsText" dxfId="147" priority="10" operator="containsText" text="Low">
      <formula>NOT(ISERROR(SEARCH("Low",D12)))</formula>
    </cfRule>
    <cfRule type="containsText" dxfId="146" priority="11" operator="containsText" text="Medium">
      <formula>NOT(ISERROR(SEARCH("Medium",D12)))</formula>
    </cfRule>
    <cfRule type="containsText" dxfId="145" priority="12" operator="containsText" text="High">
      <formula>NOT(ISERROR(SEARCH("High",D12)))</formula>
    </cfRule>
  </conditionalFormatting>
  <conditionalFormatting sqref="D13">
    <cfRule type="containsText" dxfId="144" priority="7" operator="containsText" text="Low">
      <formula>NOT(ISERROR(SEARCH("Low",D13)))</formula>
    </cfRule>
    <cfRule type="containsText" dxfId="143" priority="8" operator="containsText" text="Medium">
      <formula>NOT(ISERROR(SEARCH("Medium",D13)))</formula>
    </cfRule>
    <cfRule type="containsText" dxfId="142" priority="9" operator="containsText" text="High">
      <formula>NOT(ISERROR(SEARCH("High",D13)))</formula>
    </cfRule>
  </conditionalFormatting>
  <conditionalFormatting sqref="D18">
    <cfRule type="containsText" dxfId="141" priority="4" operator="containsText" text="Low">
      <formula>NOT(ISERROR(SEARCH("Low",D18)))</formula>
    </cfRule>
    <cfRule type="containsText" dxfId="140" priority="5" operator="containsText" text="Medium">
      <formula>NOT(ISERROR(SEARCH("Medium",D18)))</formula>
    </cfRule>
    <cfRule type="containsText" dxfId="139" priority="6" operator="containsText" text="High">
      <formula>NOT(ISERROR(SEARCH("High",D18)))</formula>
    </cfRule>
  </conditionalFormatting>
  <conditionalFormatting sqref="D19">
    <cfRule type="containsText" dxfId="138" priority="1" operator="containsText" text="Low">
      <formula>NOT(ISERROR(SEARCH("Low",D19)))</formula>
    </cfRule>
    <cfRule type="containsText" dxfId="137" priority="2" operator="containsText" text="Medium">
      <formula>NOT(ISERROR(SEARCH("Medium",D19)))</formula>
    </cfRule>
    <cfRule type="containsText" dxfId="136" priority="3" operator="containsText" text="High">
      <formula>NOT(ISERROR(SEARCH("High",D19)))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7"/>
  <sheetViews>
    <sheetView topLeftCell="C13" zoomScaleNormal="100" workbookViewId="0">
      <selection activeCell="I33" sqref="I33"/>
    </sheetView>
  </sheetViews>
  <sheetFormatPr defaultColWidth="9.140625" defaultRowHeight="15.75"/>
  <cols>
    <col min="1" max="1" width="12.7109375" style="68" customWidth="1"/>
    <col min="2" max="2" width="9.140625" style="68"/>
    <col min="3" max="3" width="12.5703125" style="138" customWidth="1"/>
    <col min="4" max="4" width="43.5703125" style="68" customWidth="1"/>
    <col min="5" max="5" width="30" style="68" customWidth="1"/>
    <col min="6" max="6" width="20.42578125" style="68" customWidth="1"/>
    <col min="7" max="7" width="25.5703125" style="68" customWidth="1"/>
    <col min="8" max="8" width="18.5703125" style="68" customWidth="1"/>
    <col min="9" max="9" width="24.7109375" style="68" customWidth="1"/>
    <col min="10" max="10" width="14.85546875" style="68" customWidth="1"/>
    <col min="11" max="11" width="35.42578125" style="68" customWidth="1"/>
    <col min="12" max="16384" width="9.140625" style="68"/>
  </cols>
  <sheetData>
    <row r="1" spans="1:12" ht="32.25">
      <c r="A1" s="75" t="s">
        <v>121</v>
      </c>
      <c r="B1" s="76" t="s">
        <v>122</v>
      </c>
      <c r="C1" s="136"/>
      <c r="D1" s="77"/>
      <c r="E1" s="77"/>
      <c r="F1" s="77"/>
      <c r="G1" s="77"/>
      <c r="H1" s="77"/>
      <c r="I1" s="77"/>
      <c r="J1" s="77"/>
      <c r="K1" s="77"/>
    </row>
    <row r="2" spans="1:12" ht="16.5">
      <c r="A2" s="76" t="s">
        <v>123</v>
      </c>
      <c r="B2" s="78"/>
      <c r="C2" s="136"/>
      <c r="D2" s="77"/>
      <c r="E2" s="77"/>
      <c r="F2" s="77"/>
      <c r="G2" s="77"/>
      <c r="H2" s="77"/>
      <c r="I2" s="77"/>
      <c r="J2" s="77"/>
      <c r="K2" s="77"/>
    </row>
    <row r="3" spans="1:12" ht="16.5">
      <c r="A3" s="76" t="s">
        <v>124</v>
      </c>
      <c r="B3" s="79"/>
      <c r="C3" s="136"/>
      <c r="D3" s="77"/>
      <c r="E3" s="77"/>
      <c r="F3" s="77"/>
      <c r="G3" s="77"/>
      <c r="H3" s="77"/>
      <c r="I3" s="77"/>
      <c r="J3" s="77"/>
      <c r="K3" s="77"/>
    </row>
    <row r="4" spans="1:12">
      <c r="A4" s="89"/>
      <c r="B4" s="89"/>
      <c r="C4" s="137"/>
      <c r="D4" s="89"/>
      <c r="E4" s="89"/>
      <c r="F4" s="89"/>
      <c r="G4" s="89"/>
      <c r="H4" s="89"/>
      <c r="I4" s="89"/>
      <c r="J4" s="89"/>
      <c r="K4" s="89"/>
    </row>
    <row r="5" spans="1:12" ht="15" customHeight="1">
      <c r="A5" s="154" t="s">
        <v>125</v>
      </c>
      <c r="B5" s="153" t="s">
        <v>11</v>
      </c>
      <c r="C5" s="155" t="s">
        <v>126</v>
      </c>
      <c r="D5" s="153" t="s">
        <v>127</v>
      </c>
      <c r="E5" s="153" t="s">
        <v>128</v>
      </c>
      <c r="F5" s="153" t="s">
        <v>129</v>
      </c>
      <c r="G5" s="153"/>
      <c r="H5" s="158" t="s">
        <v>130</v>
      </c>
      <c r="I5" s="158"/>
      <c r="J5" s="153" t="s">
        <v>131</v>
      </c>
      <c r="K5" s="153" t="s">
        <v>15</v>
      </c>
      <c r="L5" s="88"/>
    </row>
    <row r="6" spans="1:12" ht="16.5">
      <c r="A6" s="154"/>
      <c r="B6" s="153"/>
      <c r="C6" s="155"/>
      <c r="D6" s="153"/>
      <c r="E6" s="153"/>
      <c r="F6" s="66" t="s">
        <v>132</v>
      </c>
      <c r="G6" s="66" t="s">
        <v>133</v>
      </c>
      <c r="H6" s="67" t="s">
        <v>134</v>
      </c>
      <c r="I6" s="67" t="s">
        <v>135</v>
      </c>
      <c r="J6" s="153"/>
      <c r="K6" s="153"/>
      <c r="L6" s="88"/>
    </row>
    <row r="7" spans="1:12" ht="16.5">
      <c r="A7" s="122"/>
      <c r="B7" s="122"/>
      <c r="C7" s="122"/>
      <c r="D7" s="122" t="s">
        <v>16</v>
      </c>
      <c r="E7" s="122"/>
      <c r="F7" s="122"/>
      <c r="G7" s="122"/>
      <c r="H7" s="122"/>
      <c r="I7" s="122"/>
      <c r="J7" s="125"/>
      <c r="K7" s="122"/>
      <c r="L7" s="88"/>
    </row>
    <row r="8" spans="1:12" ht="32.25">
      <c r="B8" s="93">
        <v>1</v>
      </c>
      <c r="C8" s="138" t="s">
        <v>136</v>
      </c>
      <c r="D8" s="93" t="s">
        <v>17</v>
      </c>
      <c r="E8" s="68" t="s">
        <v>137</v>
      </c>
      <c r="F8" s="80">
        <v>45912</v>
      </c>
      <c r="G8" s="80">
        <v>45912</v>
      </c>
      <c r="H8" s="80">
        <v>45912</v>
      </c>
      <c r="I8" s="80">
        <v>45913</v>
      </c>
      <c r="J8" s="135" t="s">
        <v>18</v>
      </c>
      <c r="L8" s="88"/>
    </row>
    <row r="9" spans="1:12" ht="96.75">
      <c r="B9" s="93">
        <v>2</v>
      </c>
      <c r="C9" s="138" t="s">
        <v>138</v>
      </c>
      <c r="D9" s="93" t="s">
        <v>19</v>
      </c>
      <c r="E9" s="68" t="s">
        <v>137</v>
      </c>
      <c r="F9" s="80">
        <v>45912</v>
      </c>
      <c r="G9" s="80">
        <v>45912</v>
      </c>
      <c r="H9" s="80">
        <v>45912</v>
      </c>
      <c r="I9" s="80">
        <v>45913</v>
      </c>
      <c r="J9" s="135" t="s">
        <v>18</v>
      </c>
      <c r="L9" s="88"/>
    </row>
    <row r="10" spans="1:12" ht="16.5">
      <c r="A10" s="122"/>
      <c r="B10" s="122"/>
      <c r="C10" s="122"/>
      <c r="D10" s="121" t="s">
        <v>20</v>
      </c>
      <c r="E10" s="122"/>
      <c r="F10" s="122"/>
      <c r="G10" s="122"/>
      <c r="H10" s="122"/>
      <c r="I10" s="122"/>
      <c r="J10" s="125"/>
      <c r="K10" s="122"/>
      <c r="L10" s="88"/>
    </row>
    <row r="11" spans="1:12" ht="48.75">
      <c r="B11" s="93">
        <v>3</v>
      </c>
      <c r="C11" s="138" t="s">
        <v>139</v>
      </c>
      <c r="D11" s="124" t="s">
        <v>21</v>
      </c>
      <c r="E11" s="68" t="s">
        <v>137</v>
      </c>
      <c r="F11" s="80">
        <v>45912</v>
      </c>
      <c r="G11" s="80">
        <v>45914</v>
      </c>
      <c r="H11" s="80">
        <v>45912</v>
      </c>
      <c r="I11" s="80">
        <v>45914</v>
      </c>
      <c r="J11" s="135" t="s">
        <v>18</v>
      </c>
      <c r="L11" s="88"/>
    </row>
    <row r="12" spans="1:12" ht="81">
      <c r="B12" s="93">
        <v>4</v>
      </c>
      <c r="C12" s="138" t="s">
        <v>140</v>
      </c>
      <c r="D12" s="94" t="s">
        <v>22</v>
      </c>
      <c r="E12" s="68" t="s">
        <v>137</v>
      </c>
      <c r="F12" s="80">
        <v>45912</v>
      </c>
      <c r="G12" s="80">
        <v>45914</v>
      </c>
      <c r="H12" s="80">
        <v>45912</v>
      </c>
      <c r="I12" s="80">
        <v>45914</v>
      </c>
      <c r="J12" s="135" t="s">
        <v>18</v>
      </c>
      <c r="L12" s="88"/>
    </row>
    <row r="13" spans="1:12" ht="146.25">
      <c r="B13" s="93">
        <v>5</v>
      </c>
      <c r="C13" s="138" t="s">
        <v>141</v>
      </c>
      <c r="D13" s="93" t="s">
        <v>23</v>
      </c>
      <c r="E13" s="68" t="s">
        <v>137</v>
      </c>
      <c r="F13" s="80">
        <v>45912</v>
      </c>
      <c r="G13" s="80">
        <v>45914</v>
      </c>
      <c r="H13" s="80">
        <v>45912</v>
      </c>
      <c r="I13" s="80">
        <v>45914</v>
      </c>
      <c r="J13" s="135" t="s">
        <v>18</v>
      </c>
      <c r="L13" s="88"/>
    </row>
    <row r="14" spans="1:12" ht="64.5">
      <c r="B14" s="93">
        <v>6</v>
      </c>
      <c r="C14" s="138" t="s">
        <v>142</v>
      </c>
      <c r="D14" s="94" t="s">
        <v>24</v>
      </c>
      <c r="E14" s="68" t="s">
        <v>137</v>
      </c>
      <c r="F14" s="80">
        <v>45912</v>
      </c>
      <c r="G14" s="80">
        <v>45914</v>
      </c>
      <c r="H14" s="80">
        <v>45912</v>
      </c>
      <c r="I14" s="80">
        <v>45914</v>
      </c>
      <c r="J14" s="135" t="s">
        <v>18</v>
      </c>
      <c r="L14" s="88"/>
    </row>
    <row r="15" spans="1:12" ht="16.5">
      <c r="A15" s="122"/>
      <c r="B15" s="122"/>
      <c r="C15" s="122"/>
      <c r="D15" s="121" t="s">
        <v>25</v>
      </c>
      <c r="E15" s="122"/>
      <c r="F15" s="122"/>
      <c r="G15" s="122"/>
      <c r="H15" s="122"/>
      <c r="I15" s="122"/>
      <c r="J15" s="125"/>
      <c r="K15" s="122"/>
      <c r="L15" s="88"/>
    </row>
    <row r="16" spans="1:12" ht="32.25">
      <c r="B16" s="93">
        <v>7</v>
      </c>
      <c r="C16" s="115" t="s">
        <v>136</v>
      </c>
      <c r="D16" s="94" t="s">
        <v>26</v>
      </c>
      <c r="E16" s="68" t="s">
        <v>137</v>
      </c>
      <c r="F16" s="80">
        <v>45912</v>
      </c>
      <c r="G16" s="80" t="s">
        <v>143</v>
      </c>
      <c r="H16" s="80">
        <v>45912</v>
      </c>
      <c r="I16" s="80" t="s">
        <v>143</v>
      </c>
      <c r="J16" s="87" t="s">
        <v>27</v>
      </c>
      <c r="L16" s="88"/>
    </row>
    <row r="17" spans="1:12" ht="16.5">
      <c r="A17" s="122"/>
      <c r="B17" s="122"/>
      <c r="C17" s="122"/>
      <c r="D17" s="122" t="s">
        <v>28</v>
      </c>
      <c r="E17" s="122"/>
      <c r="F17" s="122"/>
      <c r="G17" s="122"/>
      <c r="H17" s="122"/>
      <c r="I17" s="122"/>
      <c r="J17" s="125"/>
      <c r="K17" s="122"/>
      <c r="L17" s="88"/>
    </row>
    <row r="18" spans="1:12" ht="16.5">
      <c r="B18" s="93">
        <v>8</v>
      </c>
      <c r="C18" s="138" t="s">
        <v>136</v>
      </c>
      <c r="D18" s="94" t="s">
        <v>29</v>
      </c>
      <c r="E18" s="68" t="s">
        <v>137</v>
      </c>
      <c r="F18" s="80">
        <v>45912</v>
      </c>
      <c r="G18" s="80">
        <v>45913</v>
      </c>
      <c r="H18" s="80">
        <v>45912</v>
      </c>
      <c r="I18" s="80">
        <v>45913</v>
      </c>
      <c r="J18" s="135" t="s">
        <v>18</v>
      </c>
      <c r="L18" s="88"/>
    </row>
    <row r="19" spans="1:12" ht="16.5">
      <c r="B19" s="93">
        <v>9</v>
      </c>
      <c r="C19" s="138" t="s">
        <v>136</v>
      </c>
      <c r="D19" s="94" t="s">
        <v>30</v>
      </c>
      <c r="E19" s="68" t="s">
        <v>137</v>
      </c>
      <c r="F19" s="80">
        <v>45913</v>
      </c>
      <c r="G19" s="80">
        <v>45913</v>
      </c>
      <c r="H19" s="80">
        <v>45913</v>
      </c>
      <c r="I19" s="80">
        <v>45913</v>
      </c>
      <c r="J19" s="135" t="s">
        <v>18</v>
      </c>
      <c r="L19" s="88"/>
    </row>
    <row r="20" spans="1:12" ht="16.5">
      <c r="A20" s="122"/>
      <c r="B20" s="122"/>
      <c r="C20" s="122"/>
      <c r="D20" s="122" t="s">
        <v>31</v>
      </c>
      <c r="E20" s="122"/>
      <c r="F20" s="122"/>
      <c r="G20" s="122"/>
      <c r="H20" s="122"/>
      <c r="I20" s="122"/>
      <c r="J20" s="125"/>
      <c r="K20" s="122"/>
      <c r="L20" s="88"/>
    </row>
    <row r="21" spans="1:12" ht="48.75">
      <c r="A21" s="90"/>
      <c r="B21" s="93">
        <v>10</v>
      </c>
      <c r="C21" s="138" t="s">
        <v>139</v>
      </c>
      <c r="D21" s="115" t="s">
        <v>32</v>
      </c>
      <c r="E21" s="68" t="s">
        <v>137</v>
      </c>
      <c r="F21" s="91">
        <v>45913</v>
      </c>
      <c r="G21" s="91">
        <v>45916</v>
      </c>
      <c r="H21" s="91">
        <v>45913</v>
      </c>
      <c r="I21" s="91">
        <v>45916</v>
      </c>
      <c r="J21" s="135" t="s">
        <v>18</v>
      </c>
      <c r="K21" s="90"/>
    </row>
    <row r="22" spans="1:12" ht="48.75">
      <c r="B22" s="115">
        <v>11</v>
      </c>
      <c r="C22" s="138" t="s">
        <v>139</v>
      </c>
      <c r="D22" s="93" t="s">
        <v>33</v>
      </c>
      <c r="E22" s="68" t="s">
        <v>137</v>
      </c>
      <c r="F22" s="91">
        <v>45913</v>
      </c>
      <c r="G22" s="91">
        <v>45916</v>
      </c>
      <c r="H22" s="91">
        <v>45913</v>
      </c>
      <c r="I22" s="91">
        <v>45916</v>
      </c>
      <c r="J22" s="135" t="s">
        <v>18</v>
      </c>
    </row>
    <row r="23" spans="1:12" ht="16.5">
      <c r="B23" s="115">
        <v>12</v>
      </c>
      <c r="C23" s="138" t="s">
        <v>136</v>
      </c>
      <c r="D23" s="128" t="s">
        <v>34</v>
      </c>
      <c r="E23" s="68" t="s">
        <v>137</v>
      </c>
      <c r="F23" s="91">
        <v>45913</v>
      </c>
      <c r="G23" s="91">
        <v>45916</v>
      </c>
      <c r="H23" s="91">
        <v>45913</v>
      </c>
      <c r="I23" s="91">
        <v>45916</v>
      </c>
      <c r="J23" s="135" t="s">
        <v>18</v>
      </c>
      <c r="L23" s="82"/>
    </row>
    <row r="24" spans="1:12" ht="32.25">
      <c r="A24" s="73"/>
      <c r="B24" s="115">
        <v>13</v>
      </c>
      <c r="C24" s="140" t="s">
        <v>144</v>
      </c>
      <c r="D24" s="115" t="s">
        <v>35</v>
      </c>
      <c r="E24" s="68" t="s">
        <v>137</v>
      </c>
      <c r="F24" s="91">
        <v>45913</v>
      </c>
      <c r="G24" s="91">
        <v>45916</v>
      </c>
      <c r="H24" s="91">
        <v>45913</v>
      </c>
      <c r="I24" s="91">
        <v>45916</v>
      </c>
      <c r="J24" s="135" t="s">
        <v>18</v>
      </c>
      <c r="K24" s="72"/>
      <c r="L24" s="72"/>
    </row>
    <row r="25" spans="1:12" ht="16.5">
      <c r="A25" s="72"/>
      <c r="B25" s="115">
        <v>14</v>
      </c>
      <c r="C25" s="115" t="s">
        <v>118</v>
      </c>
      <c r="D25" s="128" t="s">
        <v>36</v>
      </c>
      <c r="E25" s="68" t="s">
        <v>137</v>
      </c>
      <c r="F25" s="91">
        <v>45913</v>
      </c>
      <c r="G25" s="91">
        <v>45916</v>
      </c>
      <c r="H25" s="91">
        <v>45913</v>
      </c>
      <c r="I25" s="91">
        <v>45916</v>
      </c>
      <c r="J25" s="135" t="s">
        <v>18</v>
      </c>
      <c r="K25" s="72"/>
      <c r="L25" s="72"/>
    </row>
    <row r="26" spans="1:12" ht="64.5">
      <c r="A26" s="72"/>
      <c r="B26" s="93">
        <v>15</v>
      </c>
      <c r="C26" s="139" t="s">
        <v>145</v>
      </c>
      <c r="D26" s="94" t="s">
        <v>37</v>
      </c>
      <c r="E26" s="68" t="s">
        <v>137</v>
      </c>
      <c r="F26" s="91">
        <v>45913</v>
      </c>
      <c r="G26" s="91">
        <v>45916</v>
      </c>
      <c r="H26" s="91">
        <v>45913</v>
      </c>
      <c r="I26" s="91">
        <v>45916</v>
      </c>
      <c r="J26" s="135" t="s">
        <v>18</v>
      </c>
      <c r="K26" s="72"/>
      <c r="L26" s="72"/>
    </row>
    <row r="27" spans="1:12" ht="16.5">
      <c r="A27" s="72"/>
      <c r="B27" s="115">
        <v>16</v>
      </c>
      <c r="C27" s="115" t="s">
        <v>83</v>
      </c>
      <c r="D27" s="134" t="s">
        <v>38</v>
      </c>
      <c r="E27" s="68" t="s">
        <v>137</v>
      </c>
      <c r="F27" s="91">
        <v>45913</v>
      </c>
      <c r="G27" s="91">
        <v>45916</v>
      </c>
      <c r="H27" s="91">
        <v>45913</v>
      </c>
      <c r="I27" s="91">
        <v>45916</v>
      </c>
      <c r="J27" s="135" t="s">
        <v>18</v>
      </c>
      <c r="K27" s="72"/>
      <c r="L27" s="72"/>
    </row>
    <row r="28" spans="1:12" ht="16.5">
      <c r="A28" s="72"/>
      <c r="B28" s="93">
        <v>17</v>
      </c>
      <c r="C28" s="115" t="s">
        <v>74</v>
      </c>
      <c r="D28" s="93" t="s">
        <v>39</v>
      </c>
      <c r="E28" s="68" t="s">
        <v>137</v>
      </c>
      <c r="F28" s="91">
        <v>45913</v>
      </c>
      <c r="G28" s="91">
        <v>45916</v>
      </c>
      <c r="H28" s="91">
        <v>45913</v>
      </c>
      <c r="I28" s="91">
        <v>45918</v>
      </c>
      <c r="J28" s="135" t="s">
        <v>18</v>
      </c>
      <c r="K28" s="72"/>
      <c r="L28" s="72"/>
    </row>
    <row r="29" spans="1:12" ht="16.5">
      <c r="A29" s="72"/>
      <c r="B29" s="93">
        <v>18</v>
      </c>
      <c r="C29" s="115" t="s">
        <v>77</v>
      </c>
      <c r="D29" s="93" t="s">
        <v>40</v>
      </c>
      <c r="E29" s="68" t="s">
        <v>137</v>
      </c>
      <c r="F29" s="91">
        <v>45913</v>
      </c>
      <c r="G29" s="91">
        <v>45916</v>
      </c>
      <c r="H29" s="91">
        <v>45913</v>
      </c>
      <c r="I29" s="91">
        <v>45918</v>
      </c>
      <c r="J29" s="135" t="s">
        <v>18</v>
      </c>
      <c r="K29" s="72"/>
      <c r="L29" s="72"/>
    </row>
    <row r="30" spans="1:12" ht="16.5">
      <c r="A30" s="73"/>
      <c r="B30" s="115">
        <v>19</v>
      </c>
      <c r="C30" s="115" t="s">
        <v>80</v>
      </c>
      <c r="D30" s="128" t="s">
        <v>41</v>
      </c>
      <c r="E30" s="68" t="s">
        <v>137</v>
      </c>
      <c r="F30" s="91">
        <v>45913</v>
      </c>
      <c r="G30" s="91">
        <v>45916</v>
      </c>
      <c r="H30" s="91">
        <v>45913</v>
      </c>
      <c r="I30" s="91">
        <v>45916</v>
      </c>
      <c r="J30" s="135" t="s">
        <v>18</v>
      </c>
      <c r="K30" s="72"/>
      <c r="L30" s="72"/>
    </row>
    <row r="31" spans="1:12" ht="48.75">
      <c r="A31" s="72"/>
      <c r="B31" s="115">
        <v>20</v>
      </c>
      <c r="C31" s="115" t="s">
        <v>146</v>
      </c>
      <c r="D31" s="115" t="s">
        <v>42</v>
      </c>
      <c r="E31" s="68" t="s">
        <v>137</v>
      </c>
      <c r="F31" s="91">
        <v>45913</v>
      </c>
      <c r="G31" s="91">
        <v>45916</v>
      </c>
      <c r="H31" s="91">
        <v>45913</v>
      </c>
      <c r="I31" s="91">
        <v>45918</v>
      </c>
      <c r="J31" s="135" t="s">
        <v>18</v>
      </c>
      <c r="K31" s="72"/>
      <c r="L31" s="72"/>
    </row>
    <row r="32" spans="1:12" ht="16.5">
      <c r="A32" s="72"/>
      <c r="B32" s="115">
        <v>21</v>
      </c>
      <c r="C32" s="115" t="s">
        <v>97</v>
      </c>
      <c r="D32" s="128" t="s">
        <v>43</v>
      </c>
      <c r="E32" s="68" t="s">
        <v>137</v>
      </c>
      <c r="F32" s="91">
        <v>45913</v>
      </c>
      <c r="G32" s="91">
        <v>45916</v>
      </c>
      <c r="H32" s="91">
        <v>45913</v>
      </c>
      <c r="I32" s="91"/>
      <c r="J32" s="135" t="s">
        <v>18</v>
      </c>
      <c r="K32" s="72"/>
      <c r="L32" s="72"/>
    </row>
    <row r="33" spans="1:12" ht="48.75">
      <c r="A33" s="72"/>
      <c r="B33" s="115">
        <v>22</v>
      </c>
      <c r="C33" s="139" t="s">
        <v>147</v>
      </c>
      <c r="D33" s="93" t="s">
        <v>44</v>
      </c>
      <c r="E33" s="68" t="s">
        <v>137</v>
      </c>
      <c r="F33" s="91">
        <v>45913</v>
      </c>
      <c r="G33" s="91">
        <v>45916</v>
      </c>
      <c r="H33" s="91">
        <v>45913</v>
      </c>
      <c r="I33" s="91">
        <v>45916</v>
      </c>
      <c r="J33" s="135" t="s">
        <v>18</v>
      </c>
      <c r="K33" s="72"/>
      <c r="L33" s="72"/>
    </row>
    <row r="34" spans="1:12" ht="16.5">
      <c r="A34" s="72"/>
      <c r="B34" s="115">
        <v>23</v>
      </c>
      <c r="C34" s="115" t="s">
        <v>109</v>
      </c>
      <c r="D34" s="115" t="s">
        <v>45</v>
      </c>
      <c r="E34" s="68" t="s">
        <v>137</v>
      </c>
      <c r="F34" s="91">
        <v>45913</v>
      </c>
      <c r="G34" s="91">
        <v>45916</v>
      </c>
      <c r="H34" s="91">
        <v>45913</v>
      </c>
      <c r="I34" s="91">
        <v>45916</v>
      </c>
      <c r="J34" s="135" t="s">
        <v>18</v>
      </c>
      <c r="K34" s="72"/>
      <c r="L34" s="72"/>
    </row>
    <row r="35" spans="1:12" ht="16.5">
      <c r="A35" s="72"/>
      <c r="B35" s="115">
        <v>24</v>
      </c>
      <c r="C35" s="115" t="s">
        <v>109</v>
      </c>
      <c r="D35" s="115" t="s">
        <v>46</v>
      </c>
      <c r="E35" s="68" t="s">
        <v>137</v>
      </c>
      <c r="F35" s="91">
        <v>45913</v>
      </c>
      <c r="G35" s="91">
        <v>45916</v>
      </c>
      <c r="H35" s="91">
        <v>45913</v>
      </c>
      <c r="I35" s="91"/>
      <c r="J35" s="135" t="s">
        <v>18</v>
      </c>
      <c r="K35" s="72"/>
      <c r="L35" s="72"/>
    </row>
    <row r="36" spans="1:12" ht="16.5">
      <c r="A36" s="122"/>
      <c r="B36" s="122"/>
      <c r="C36" s="122"/>
      <c r="D36" s="121" t="s">
        <v>47</v>
      </c>
      <c r="E36" s="122"/>
      <c r="F36" s="122"/>
      <c r="G36" s="122"/>
      <c r="H36" s="122"/>
      <c r="I36" s="122"/>
      <c r="J36" s="125"/>
      <c r="K36" s="122"/>
      <c r="L36" s="72"/>
    </row>
    <row r="37" spans="1:12" ht="32.25">
      <c r="A37" s="72"/>
      <c r="B37" s="93">
        <v>25</v>
      </c>
      <c r="C37" s="139" t="s">
        <v>136</v>
      </c>
      <c r="D37" s="94" t="s">
        <v>48</v>
      </c>
      <c r="E37" s="68" t="s">
        <v>137</v>
      </c>
      <c r="F37" s="133">
        <v>45913</v>
      </c>
      <c r="G37" s="133" t="s">
        <v>143</v>
      </c>
      <c r="H37" s="133">
        <v>45913</v>
      </c>
      <c r="I37" s="133" t="s">
        <v>143</v>
      </c>
      <c r="J37" s="87" t="s">
        <v>27</v>
      </c>
      <c r="K37" s="72"/>
      <c r="L37" s="72"/>
    </row>
    <row r="38" spans="1:12">
      <c r="A38" s="83"/>
      <c r="B38" s="83"/>
      <c r="C38" s="139"/>
      <c r="D38" s="72"/>
      <c r="E38" s="85"/>
      <c r="F38" s="85"/>
      <c r="G38" s="85"/>
      <c r="H38" s="85"/>
      <c r="I38" s="83"/>
      <c r="J38" s="83"/>
      <c r="K38" s="72"/>
      <c r="L38" s="72"/>
    </row>
    <row r="39" spans="1:12">
      <c r="E39" s="156" t="s">
        <v>148</v>
      </c>
      <c r="F39" s="157"/>
      <c r="G39" s="84"/>
    </row>
    <row r="40" spans="1:12" s="149" customFormat="1" ht="15.75" customHeight="1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8"/>
    </row>
    <row r="41" spans="1:12" s="149" customFormat="1" ht="15.75" customHeight="1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2"/>
    </row>
    <row r="42" spans="1:12">
      <c r="A42" s="71"/>
      <c r="B42" s="71"/>
      <c r="C42" s="140"/>
      <c r="D42" s="73"/>
      <c r="E42" s="71"/>
      <c r="F42" s="71"/>
      <c r="G42" s="71"/>
      <c r="H42" s="71"/>
      <c r="I42" s="71"/>
      <c r="J42" s="71"/>
      <c r="K42" s="72"/>
      <c r="L42" s="72"/>
    </row>
    <row r="43" spans="1:12">
      <c r="A43" s="71"/>
      <c r="B43" s="71"/>
      <c r="C43" s="140"/>
      <c r="D43" s="73"/>
      <c r="E43" s="71"/>
      <c r="F43" s="71"/>
      <c r="G43" s="71"/>
      <c r="H43" s="71"/>
      <c r="I43" s="71"/>
      <c r="J43" s="71"/>
      <c r="K43" s="72"/>
      <c r="L43" s="72"/>
    </row>
    <row r="44" spans="1:12">
      <c r="A44" s="72"/>
      <c r="B44" s="83"/>
      <c r="C44" s="139"/>
      <c r="D44" s="72"/>
      <c r="E44" s="85"/>
      <c r="F44" s="85"/>
      <c r="G44" s="85"/>
      <c r="H44" s="85"/>
      <c r="I44" s="83"/>
      <c r="J44" s="83"/>
      <c r="K44" s="72"/>
      <c r="L44" s="72"/>
    </row>
    <row r="45" spans="1:12">
      <c r="A45" s="72"/>
      <c r="B45" s="83"/>
      <c r="C45" s="139"/>
      <c r="D45" s="72"/>
      <c r="E45" s="85"/>
      <c r="F45" s="85"/>
      <c r="G45" s="85"/>
      <c r="H45" s="85"/>
      <c r="I45" s="83"/>
      <c r="J45" s="83"/>
      <c r="K45" s="72"/>
      <c r="L45" s="72"/>
    </row>
    <row r="46" spans="1:12">
      <c r="A46" s="72"/>
      <c r="B46" s="83"/>
      <c r="C46" s="139"/>
      <c r="D46" s="72"/>
      <c r="E46" s="85"/>
      <c r="F46" s="85"/>
      <c r="G46" s="85"/>
      <c r="H46" s="85"/>
      <c r="I46" s="83"/>
      <c r="J46" s="83"/>
      <c r="K46" s="72"/>
      <c r="L46" s="72"/>
    </row>
    <row r="47" spans="1:12">
      <c r="A47" s="72"/>
      <c r="B47" s="83"/>
      <c r="C47" s="139"/>
      <c r="D47" s="72"/>
      <c r="E47" s="85"/>
      <c r="F47" s="85"/>
      <c r="G47" s="85"/>
      <c r="H47" s="85"/>
      <c r="I47" s="83"/>
      <c r="J47" s="83"/>
      <c r="K47" s="72"/>
      <c r="L47" s="72"/>
    </row>
    <row r="48" spans="1:12">
      <c r="A48" s="72"/>
      <c r="B48" s="83"/>
      <c r="C48" s="139"/>
      <c r="D48" s="72"/>
      <c r="E48" s="85"/>
      <c r="F48" s="85"/>
      <c r="G48" s="85"/>
      <c r="H48" s="85"/>
      <c r="I48" s="83"/>
      <c r="J48" s="83"/>
      <c r="K48" s="72"/>
      <c r="L48" s="72"/>
    </row>
    <row r="49" spans="1:12">
      <c r="A49" s="72"/>
      <c r="B49" s="83"/>
      <c r="C49" s="139"/>
      <c r="D49" s="72"/>
      <c r="E49" s="85"/>
      <c r="F49" s="85"/>
      <c r="G49" s="85"/>
      <c r="H49" s="85"/>
      <c r="I49" s="83"/>
      <c r="J49" s="83"/>
      <c r="K49" s="72"/>
      <c r="L49" s="72"/>
    </row>
    <row r="50" spans="1:12">
      <c r="A50" s="72"/>
      <c r="B50" s="83"/>
      <c r="C50" s="139"/>
      <c r="D50" s="72"/>
      <c r="E50" s="85"/>
      <c r="F50" s="85"/>
      <c r="G50" s="85"/>
      <c r="H50" s="85"/>
      <c r="I50" s="83"/>
      <c r="J50" s="83"/>
      <c r="K50" s="72"/>
      <c r="L50" s="72"/>
    </row>
    <row r="51" spans="1:12">
      <c r="A51" s="72"/>
      <c r="B51" s="83"/>
      <c r="C51" s="140"/>
      <c r="D51" s="72"/>
      <c r="E51" s="85"/>
      <c r="F51" s="85"/>
      <c r="G51" s="85"/>
      <c r="H51" s="85"/>
      <c r="I51" s="83"/>
      <c r="J51" s="83"/>
      <c r="K51" s="72"/>
      <c r="L51" s="72"/>
    </row>
    <row r="52" spans="1:12">
      <c r="A52" s="83"/>
      <c r="B52" s="83"/>
      <c r="C52" s="140"/>
      <c r="D52" s="72"/>
      <c r="E52" s="85"/>
      <c r="F52" s="85"/>
      <c r="G52" s="85"/>
      <c r="H52" s="85"/>
      <c r="I52" s="83"/>
      <c r="J52" s="83"/>
      <c r="K52" s="72"/>
      <c r="L52" s="72"/>
    </row>
    <row r="53" spans="1:12">
      <c r="A53" s="83"/>
      <c r="B53" s="83"/>
      <c r="C53" s="140"/>
      <c r="D53" s="72"/>
      <c r="E53" s="83"/>
      <c r="F53" s="86"/>
      <c r="G53" s="86"/>
      <c r="H53" s="83"/>
      <c r="I53" s="83"/>
      <c r="J53" s="83"/>
      <c r="K53" s="72"/>
      <c r="L53" s="72"/>
    </row>
    <row r="54" spans="1:12">
      <c r="A54" s="72"/>
      <c r="B54" s="72"/>
      <c r="C54" s="140"/>
      <c r="D54" s="72"/>
      <c r="E54" s="72"/>
      <c r="F54" s="72"/>
      <c r="G54" s="72"/>
      <c r="H54" s="72"/>
      <c r="I54" s="72"/>
      <c r="J54" s="72"/>
      <c r="K54" s="72"/>
      <c r="L54" s="72"/>
    </row>
    <row r="55" spans="1:12">
      <c r="A55" s="72"/>
      <c r="B55" s="72"/>
      <c r="C55" s="140"/>
      <c r="D55" s="72"/>
      <c r="E55" s="72"/>
      <c r="F55" s="72"/>
      <c r="G55" s="72"/>
      <c r="H55" s="72"/>
      <c r="I55" s="72"/>
      <c r="J55" s="72"/>
      <c r="K55" s="72"/>
      <c r="L55" s="72"/>
    </row>
    <row r="56" spans="1:12">
      <c r="A56" s="72"/>
      <c r="B56" s="72"/>
      <c r="C56" s="140"/>
      <c r="D56" s="72"/>
      <c r="E56" s="72"/>
      <c r="F56" s="72"/>
      <c r="G56" s="72"/>
      <c r="H56" s="72"/>
      <c r="I56" s="72"/>
      <c r="J56" s="72"/>
      <c r="K56" s="72"/>
      <c r="L56" s="72"/>
    </row>
    <row r="57" spans="1:12">
      <c r="A57" s="72"/>
      <c r="B57" s="72"/>
      <c r="C57" s="140"/>
      <c r="D57" s="72"/>
      <c r="E57" s="72"/>
      <c r="F57" s="72"/>
      <c r="G57" s="72"/>
      <c r="H57" s="72"/>
      <c r="I57" s="72"/>
      <c r="J57" s="72"/>
      <c r="K57" s="72"/>
      <c r="L57" s="72"/>
    </row>
  </sheetData>
  <mergeCells count="11">
    <mergeCell ref="A40:XFD41"/>
    <mergeCell ref="J5:J6"/>
    <mergeCell ref="K5:K6"/>
    <mergeCell ref="A5:A6"/>
    <mergeCell ref="B5:B6"/>
    <mergeCell ref="C5:C6"/>
    <mergeCell ref="E39:F39"/>
    <mergeCell ref="D5:D6"/>
    <mergeCell ref="E5:E6"/>
    <mergeCell ref="F5:G5"/>
    <mergeCell ref="H5:I5"/>
  </mergeCells>
  <conditionalFormatting sqref="G39">
    <cfRule type="expression" dxfId="135" priority="6">
      <formula>NOT(ISERROR(SEARCH("Success",H75)))</formula>
    </cfRule>
    <cfRule type="expression" dxfId="134" priority="7">
      <formula>NOT(ISERROR(SEARCH("Failure",H75)))</formula>
    </cfRule>
  </conditionalFormatting>
  <conditionalFormatting sqref="G53">
    <cfRule type="expression" dxfId="133" priority="8">
      <formula>NOT(ISERROR(SEARCH("Success",H106)))</formula>
    </cfRule>
    <cfRule type="expression" dxfId="132" priority="9">
      <formula>NOT(ISERROR(SEARCH("Failure",H106)))</formula>
    </cfRule>
  </conditionalFormatting>
  <pageMargins left="0.7" right="0.7" top="0.75" bottom="0.75" header="0.511811023622047" footer="0.511811023622047"/>
  <pageSetup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23E83C3-59BC-428E-8342-89FE8368E654}">
            <xm:f>NOT(ISERROR(SEARCH(Datasheet!$A$2,I38)))</xm:f>
            <xm:f>Datasheet!$A$2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8AD51B37-80A4-4F86-9D59-A1513CDE3E9D}">
            <xm:f>NOT(ISERROR(SEARCH(Datasheet!$A$3,I38)))</xm:f>
            <xm:f>Datasheet!$A$3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4" operator="containsText" id="{CFB35221-4CBB-4E1E-9B83-7038356C62DF}">
            <xm:f>NOT(ISERROR(SEARCH(Datasheet!$A$4,I38)))</xm:f>
            <xm:f>Datasheet!$A$4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id="{6674ACF0-571A-42DE-984C-1E1E89254999}">
            <xm:f>NOT(ISERROR(SEARCH(Datasheet!$A$5,I38)))</xm:f>
            <xm:f>Datasheet!$A$5</xm:f>
            <x14:dxf>
              <font>
                <color rgb="FF9C0006"/>
              </font>
            </x14:dxf>
          </x14:cfRule>
          <xm:sqref>I38:I39</xm:sqref>
        </x14:conditionalFormatting>
        <x14:conditionalFormatting xmlns:xm="http://schemas.microsoft.com/office/excel/2006/main">
          <x14:cfRule type="containsText" priority="10" operator="containsText" id="{67C54C80-1A27-4DDA-B28D-C5DD52DFD869}">
            <xm:f>NOT(ISERROR(SEARCH(Datasheet!$A$2,I44)))</xm:f>
            <xm:f>Datasheet!$A$2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1" operator="containsText" id="{88185056-80FC-4E70-9222-6C69FF9BE45F}">
            <xm:f>NOT(ISERROR(SEARCH(Datasheet!$A$3,I44)))</xm:f>
            <xm:f>Datasheet!$A$3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id="{4B1126C8-2E26-4E79-90A4-75D6E15851EB}">
            <xm:f>NOT(ISERROR(SEARCH(Datasheet!$A$4,I44)))</xm:f>
            <xm:f>Datasheet!$A$4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" operator="containsText" id="{F2271FA6-6D5D-4EE0-BFE0-D86CB5EB5BFB}">
            <xm:f>NOT(ISERROR(SEARCH(Datasheet!$A$5,I44)))</xm:f>
            <xm:f>Datasheet!$A$5</xm:f>
            <x14:dxf>
              <font>
                <color rgb="FF9C0006"/>
              </font>
            </x14:dxf>
          </x14:cfRule>
          <xm:sqref>I44:I51</xm:sqref>
        </x14:conditionalFormatting>
        <x14:conditionalFormatting xmlns:xm="http://schemas.microsoft.com/office/excel/2006/main">
          <x14:cfRule type="containsText" priority="24" operator="containsText" id="{4C88E37C-10BF-45AA-8869-4AB11051F6E2}">
            <xm:f>NOT(ISERROR(SEARCH(Datasheet!$A$3,I43)))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5" operator="containsText" id="{EB27F48F-936B-4AD9-A172-1CB71287FAE7}">
            <xm:f>NOT(ISERROR(SEARCH(Datasheet!$A$5,I43)))</xm:f>
            <xm:f>Datasheet!$A$5</xm:f>
            <x14:dxf>
              <font>
                <color rgb="FF9C0006"/>
              </font>
            </x14:dxf>
          </x14:cfRule>
          <xm:sqref>I43:I44</xm:sqref>
        </x14:conditionalFormatting>
        <x14:conditionalFormatting xmlns:xm="http://schemas.microsoft.com/office/excel/2006/main">
          <x14:cfRule type="containsText" priority="26" operator="containsText" id="{AF5D4E59-226E-4167-9FA6-9F32E0EF3F9E}">
            <xm:f>NOT(ISERROR(SEARCH(Datasheet!$A$3,I38)))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D671CBC6-C7ED-4F8F-AAA6-7940D7EFBAF4}">
            <xm:f>NOT(ISERROR(SEARCH(Datasheet!$A$5,I38)))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I38:I39 I42</xm:sqref>
        </x14:conditionalFormatting>
        <x14:conditionalFormatting xmlns:xm="http://schemas.microsoft.com/office/excel/2006/main">
          <x14:cfRule type="containsText" priority="28" operator="containsText" id="{C5EE8D64-CE3C-4DF9-B9E3-C3D43DC73BBF}">
            <xm:f>NOT(ISERROR(SEARCH(Datasheet!$A$3,I46)))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id="{5F7FA498-EA7A-4AC7-9EF9-82909E9E306C}">
            <xm:f>NOT(ISERROR(SEARCH(Datasheet!$A$5,I46)))</xm:f>
            <xm:f>Datasheet!$A$5</xm:f>
            <x14:dxf>
              <font>
                <color rgb="FF9C0006"/>
              </font>
            </x14:dxf>
          </x14:cfRule>
          <xm:sqref>I46</xm:sqref>
        </x14:conditionalFormatting>
        <x14:conditionalFormatting xmlns:xm="http://schemas.microsoft.com/office/excel/2006/main">
          <x14:cfRule type="containsText" priority="30" operator="containsText" id="{652F1CC3-7976-4BC7-9349-69E71ED0CD47}">
            <xm:f>NOT(ISERROR(SEARCH(Datasheet!$A$3,I51)))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" operator="containsText" id="{6850666A-B440-4361-9943-FF63FA1EBA60}">
            <xm:f>NOT(ISERROR(SEARCH(Datasheet!$A$5,I51)))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I51</xm:sqref>
        </x14:conditionalFormatting>
        <x14:conditionalFormatting xmlns:xm="http://schemas.microsoft.com/office/excel/2006/main">
          <x14:cfRule type="containsText" priority="36" operator="containsText" id="{D86DF226-71E0-4ACD-8991-B459901CE093}">
            <xm:f>NOT(ISERROR(SEARCH(Datasheet!$A$3,I47)))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7" operator="containsText" id="{171FD5C5-8791-484E-859F-E05FEC462418}">
            <xm:f>NOT(ISERROR(SEARCH(Datasheet!$A$5,I47)))</xm:f>
            <xm:f>Datasheet!$A$5</xm:f>
            <x14:dxf>
              <font>
                <color rgb="FFFFFFFF"/>
              </font>
              <fill>
                <patternFill>
                  <bgColor theme="9" tint="-0.249977111117893"/>
                </patternFill>
              </fill>
            </x14:dxf>
          </x14:cfRule>
          <xm:sqref>I47</xm:sqref>
        </x14:conditionalFormatting>
        <x14:conditionalFormatting xmlns:xm="http://schemas.microsoft.com/office/excel/2006/main">
          <x14:cfRule type="containsText" priority="38" operator="containsText" id="{ECEBB039-5DF3-4029-B6BF-D3A3F19AE0E0}">
            <xm:f>NOT(ISERROR(SEARCH(Datasheet!$A$3,I49)))</xm:f>
            <xm:f>Datasheet!$A$3</xm:f>
            <x14:dxf>
              <font>
                <color rgb="FFFFFFFF"/>
              </font>
              <fill>
                <patternFill>
                  <bgColor rgb="FFC00000"/>
                </patternFill>
              </fill>
            </x14:dxf>
          </x14:cfRule>
          <x14:cfRule type="containsText" priority="39" operator="containsText" id="{22D021E8-ABFA-4411-ACF3-67BA973080D2}">
            <xm:f>NOT(ISERROR(SEARCH(Datasheet!$A$5,I49)))</xm:f>
            <xm:f>Datasheet!$A$5</xm:f>
            <x14:dxf>
              <font>
                <color rgb="FFFFFFFF"/>
              </font>
              <fill>
                <patternFill>
                  <bgColor theme="9" tint="-0.249977111117893"/>
                </patternFill>
              </fill>
            </x14:dxf>
          </x14:cfRule>
          <xm:sqref>I49</xm:sqref>
        </x14:conditionalFormatting>
        <x14:conditionalFormatting xmlns:xm="http://schemas.microsoft.com/office/excel/2006/main">
          <x14:cfRule type="containsText" priority="40" operator="containsText" id="{00EF3BB4-1774-41B0-B2F2-C09B18F72C50}">
            <xm:f>NOT(ISERROR(SEARCH(Datasheet!$A$3,I53)))</xm:f>
            <xm:f>Datasheet!$A$3</xm:f>
            <x14:dxf>
              <font>
                <color rgb="FFFFFFFF"/>
              </font>
              <fill>
                <patternFill>
                  <bgColor rgb="FFC00000"/>
                </patternFill>
              </fill>
            </x14:dxf>
          </x14:cfRule>
          <x14:cfRule type="containsText" priority="41" operator="containsText" id="{1933A18C-8970-49FE-B548-A03170FE3EBB}">
            <xm:f>NOT(ISERROR(SEARCH(Datasheet!$A$5,I53)))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I53</xm:sqref>
        </x14:conditionalFormatting>
        <x14:conditionalFormatting xmlns:xm="http://schemas.microsoft.com/office/excel/2006/main">
          <x14:cfRule type="containsText" priority="42" operator="containsText" id="{F6708ABB-62EC-4F94-8F9F-ADDFC741A216}">
            <xm:f>NOT(ISERROR(SEARCH(Datasheet!$A$3,I54)))</xm:f>
            <xm:f>Datasheet!$A$3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14:cfRule type="containsText" priority="43" operator="containsText" id="{F87E1674-2BF8-4161-95B4-BBE5719D2F37}">
            <xm:f>NOT(ISERROR(SEARCH(Datasheet!$A$5,I54)))</xm:f>
            <xm:f>Datasheet!$A$5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I54</xm:sqref>
        </x14:conditionalFormatting>
        <x14:conditionalFormatting xmlns:xm="http://schemas.microsoft.com/office/excel/2006/main">
          <x14:cfRule type="containsText" priority="44" operator="containsText" id="{1666F844-64EB-4214-9CDF-372F8D599A8E}">
            <xm:f>NOT(ISERROR(SEARCH(Datasheet!$A$3,I56)))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5" operator="containsText" id="{394EE0F2-50FE-49CC-845D-70B0E2C043FA}">
            <xm:f>NOT(ISERROR(SEARCH(Datasheet!$A$5,I56)))</xm:f>
            <xm:f>Datasheet!$A$5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I56</xm:sqref>
        </x14:conditionalFormatting>
        <x14:conditionalFormatting xmlns:xm="http://schemas.microsoft.com/office/excel/2006/main">
          <x14:cfRule type="containsText" priority="46" operator="containsText" id="{2B902093-EEA2-44EC-A774-C2E61250F1DC}">
            <xm:f>NOT(ISERROR(SEARCH(Datasheet!$A$3,I55)))</xm:f>
            <xm:f>Datasheet!$A$3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14:cfRule type="containsText" priority="47" operator="containsText" id="{7023D545-9B56-43A2-A4EB-FE4414F03AB0}">
            <xm:f>NOT(ISERROR(SEARCH(Datasheet!$A$5,I55)))</xm:f>
            <xm:f>Datasheet!$A$5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I55</xm:sqref>
        </x14:conditionalFormatting>
        <x14:conditionalFormatting xmlns:xm="http://schemas.microsoft.com/office/excel/2006/main">
          <x14:cfRule type="containsText" priority="48" operator="containsText" id="{27182000-709E-498B-83EB-54BE4D785746}">
            <xm:f>NOT(ISERROR(SEARCH(Datasheet!$A$3,I62)))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9" operator="containsText" id="{A1DDC5CD-B3F6-4888-8777-6114B856C864}">
            <xm:f>NOT(ISERROR(SEARCH(Datasheet!$A$5,I62)))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I62</xm:sqref>
        </x14:conditionalFormatting>
        <x14:conditionalFormatting xmlns:xm="http://schemas.microsoft.com/office/excel/2006/main">
          <x14:cfRule type="containsText" priority="50" operator="containsText" id="{C2A05920-8027-4C2D-9E79-5645A08236D5}">
            <xm:f>NOT(ISERROR(SEARCH(Datasheet!$A$3,I60)))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1" operator="containsText" id="{84D169A1-3CF9-4BA0-9B26-36AC97C3514E}">
            <xm:f>NOT(ISERROR(SEARCH(Datasheet!$A$5,I60)))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I60</xm:sqref>
        </x14:conditionalFormatting>
        <x14:conditionalFormatting xmlns:xm="http://schemas.microsoft.com/office/excel/2006/main">
          <x14:cfRule type="containsText" priority="52" operator="containsText" id="{E57E405A-61EB-4497-98F9-4FA0936ED3F9}">
            <xm:f>NOT(ISERROR(SEARCH(Datasheet!$A$3,I64)))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3" operator="containsText" id="{C77C6591-1CBB-4470-9A30-5B76654E27F0}">
            <xm:f>NOT(ISERROR(SEARCH(Datasheet!$A$5,I64)))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I64</xm:sqref>
        </x14:conditionalFormatting>
        <x14:conditionalFormatting xmlns:xm="http://schemas.microsoft.com/office/excel/2006/main">
          <x14:cfRule type="containsText" priority="54" operator="containsText" id="{73A0247B-883F-4A4A-B0DF-D7A8C3749DCA}">
            <xm:f>NOT(ISERROR(SEARCH(Datasheet!$A$3,I66)))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5" operator="containsText" id="{79F69389-BF45-4D7B-9BC1-29C9872FA2D0}">
            <xm:f>NOT(ISERROR(SEARCH(Datasheet!$A$5,I66)))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I66</xm:sqref>
        </x14:conditionalFormatting>
        <x14:conditionalFormatting xmlns:xm="http://schemas.microsoft.com/office/excel/2006/main">
          <x14:cfRule type="containsText" priority="56" operator="containsText" id="{4D90FA1B-A842-41BC-9180-D211F09E4350}">
            <xm:f>NOT(ISERROR(SEARCH(Datasheet!$A$3,I68)))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7" operator="containsText" id="{153030F0-264D-4EFF-ADB7-8220BB34A78D}">
            <xm:f>NOT(ISERROR(SEARCH(Datasheet!$A$5,I68)))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I68</xm:sqref>
        </x14:conditionalFormatting>
        <x14:conditionalFormatting xmlns:xm="http://schemas.microsoft.com/office/excel/2006/main">
          <x14:cfRule type="containsText" priority="58" operator="containsText" id="{6F75F715-3DA0-4AE7-8160-8BB880405C8C}">
            <xm:f>NOT(ISERROR(SEARCH(Datasheet!$A$3,I69)))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9" operator="containsText" id="{1A253F34-8A70-43DB-A7FE-9DF04174DD70}">
            <xm:f>NOT(ISERROR(SEARCH(Datasheet!$A$5,I69)))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I69</xm:sqref>
        </x14:conditionalFormatting>
        <x14:conditionalFormatting xmlns:xm="http://schemas.microsoft.com/office/excel/2006/main">
          <x14:cfRule type="containsText" priority="60" operator="containsText" id="{E04F54D8-80A9-4E43-BEB7-71FCD6A0384B}">
            <xm:f>NOT(ISERROR(SEARCH(Datasheet!$A$3,I59)))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1" operator="containsText" id="{DDA5E51B-8193-4C60-B7E0-20D597405510}">
            <xm:f>NOT(ISERROR(SEARCH(Datasheet!$A$5,I59)))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I59</xm:sqref>
        </x14:conditionalFormatting>
        <x14:conditionalFormatting xmlns:xm="http://schemas.microsoft.com/office/excel/2006/main">
          <x14:cfRule type="containsText" priority="62" operator="containsText" id="{CE77388C-B095-4EAA-A29B-C03861375F32}">
            <xm:f>NOT(ISERROR(SEARCH(Datasheet!$A$3,I57)))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3" operator="containsText" id="{35633061-9233-49E4-8DCA-3865D1D04DFD}">
            <xm:f>NOT(ISERROR(SEARCH(Datasheet!$A$5,I57)))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I57</xm:sqref>
        </x14:conditionalFormatting>
        <x14:conditionalFormatting xmlns:xm="http://schemas.microsoft.com/office/excel/2006/main">
          <x14:cfRule type="containsText" priority="64" operator="containsText" id="{748730CC-9E43-4E59-AF9F-C4E4E1D7B0E5}">
            <xm:f>NOT(ISERROR(SEARCH(Datasheet!$A$3,I71)))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5" operator="containsText" id="{601C229E-8D8D-44F6-B7A2-6455772A70FA}">
            <xm:f>NOT(ISERROR(SEARCH(Datasheet!$A$5,I71)))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I71</xm:sqref>
        </x14:conditionalFormatting>
        <x14:conditionalFormatting xmlns:xm="http://schemas.microsoft.com/office/excel/2006/main">
          <x14:cfRule type="containsText" priority="66" operator="containsText" id="{7CD02DE9-D0DA-4FF5-9F4E-636CDFB300A8}">
            <xm:f>NOT(ISERROR(SEARCH(Datasheet!$A$3,I72)))</xm:f>
            <xm:f>Datasheet!$A$3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7" operator="containsText" id="{ED8B5F3A-BF78-45B5-9C5D-2DE346812FEE}">
            <xm:f>NOT(ISERROR(SEARCH(Datasheet!$A$5,I72)))</xm:f>
            <xm:f>Datasheet!$A$5</xm:f>
            <x14:dxf>
              <font>
                <color rgb="FF0F4762"/>
              </font>
              <fill>
                <patternFill>
                  <bgColor rgb="FF8FBBD6"/>
                </patternFill>
              </fill>
            </x14:dxf>
          </x14:cfRule>
          <xm:sqref>I72:I73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Datasheet!$A$2:$A$5</xm:f>
          </x14:formula1>
          <x14:formula2>
            <xm:f>0</xm:f>
          </x14:formula2>
          <xm:sqref>I44:I51 I38:I39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52"/>
  <sheetViews>
    <sheetView zoomScaleNormal="100" workbookViewId="0"/>
  </sheetViews>
  <sheetFormatPr defaultColWidth="9" defaultRowHeight="15"/>
  <cols>
    <col min="1" max="2" width="9" style="2"/>
    <col min="3" max="3" width="71.42578125" style="2" customWidth="1"/>
    <col min="4" max="4" width="27.42578125" style="2" customWidth="1"/>
    <col min="5" max="5" width="11" style="20" hidden="1" customWidth="1"/>
    <col min="6" max="6" width="12.5703125" style="2" customWidth="1"/>
    <col min="7" max="7" width="21.28515625" style="2" customWidth="1"/>
    <col min="8" max="8" width="71" style="2" customWidth="1"/>
    <col min="9" max="9" width="1.5703125" style="20" customWidth="1"/>
    <col min="10" max="10" width="9" style="2"/>
    <col min="11" max="11" width="31.85546875" style="2" customWidth="1"/>
    <col min="12" max="16384" width="9" style="2"/>
  </cols>
  <sheetData>
    <row r="2" spans="1:16">
      <c r="A2" s="21" t="s">
        <v>149</v>
      </c>
      <c r="B2" s="22" t="s">
        <v>11</v>
      </c>
      <c r="C2" s="23" t="s">
        <v>150</v>
      </c>
      <c r="D2" s="22"/>
      <c r="E2" s="24"/>
      <c r="F2" s="25" t="s">
        <v>11</v>
      </c>
      <c r="G2" s="26" t="s">
        <v>151</v>
      </c>
      <c r="H2" s="25" t="s">
        <v>152</v>
      </c>
      <c r="I2" s="24"/>
      <c r="J2" s="27" t="s">
        <v>11</v>
      </c>
      <c r="K2" s="27" t="s">
        <v>153</v>
      </c>
      <c r="L2" s="27" t="s">
        <v>151</v>
      </c>
      <c r="M2" s="27" t="s">
        <v>154</v>
      </c>
      <c r="N2" s="27" t="s">
        <v>14</v>
      </c>
      <c r="O2" s="27" t="s">
        <v>15</v>
      </c>
    </row>
    <row r="3" spans="1:16">
      <c r="B3" s="13"/>
      <c r="C3" s="19"/>
      <c r="D3" s="13"/>
      <c r="F3" s="19"/>
      <c r="G3" s="13"/>
      <c r="H3" s="28" t="s">
        <v>155</v>
      </c>
      <c r="J3" s="13"/>
      <c r="K3" s="13"/>
      <c r="L3" s="13"/>
      <c r="M3" s="13"/>
      <c r="N3" s="13"/>
      <c r="O3" s="13"/>
    </row>
    <row r="4" spans="1:16">
      <c r="B4" s="13">
        <v>1</v>
      </c>
      <c r="C4" s="29"/>
      <c r="D4" s="30"/>
      <c r="F4" s="13">
        <v>1</v>
      </c>
      <c r="G4" s="31"/>
      <c r="H4" s="32"/>
      <c r="J4" s="13">
        <v>1</v>
      </c>
      <c r="K4" s="32" t="s">
        <v>156</v>
      </c>
      <c r="L4" s="13"/>
      <c r="M4" s="13"/>
      <c r="N4" s="13"/>
      <c r="O4" s="13"/>
    </row>
    <row r="5" spans="1:16">
      <c r="B5" s="13">
        <v>2</v>
      </c>
      <c r="C5" s="29"/>
      <c r="D5" s="30"/>
      <c r="F5" s="13">
        <v>2</v>
      </c>
      <c r="G5" s="13"/>
      <c r="H5" s="32"/>
      <c r="J5" s="13">
        <v>2</v>
      </c>
      <c r="K5" s="32" t="s">
        <v>156</v>
      </c>
      <c r="L5" s="13"/>
      <c r="M5" s="13"/>
      <c r="N5" s="13"/>
      <c r="O5" s="13"/>
    </row>
    <row r="6" spans="1:16">
      <c r="B6" s="13">
        <v>3</v>
      </c>
      <c r="C6" s="29"/>
      <c r="D6" s="30"/>
      <c r="F6" s="13">
        <v>3</v>
      </c>
      <c r="G6" s="13"/>
      <c r="H6" s="32"/>
      <c r="J6" s="13">
        <v>3</v>
      </c>
      <c r="K6" s="32" t="s">
        <v>156</v>
      </c>
      <c r="L6" s="13"/>
      <c r="M6" s="13"/>
      <c r="N6" s="13"/>
      <c r="O6" s="13"/>
    </row>
    <row r="7" spans="1:16">
      <c r="B7" s="13">
        <v>4</v>
      </c>
      <c r="C7" s="29"/>
      <c r="D7" s="30"/>
      <c r="F7" s="13">
        <v>4</v>
      </c>
      <c r="G7" s="13"/>
      <c r="H7" s="32"/>
      <c r="J7" s="13">
        <v>4</v>
      </c>
      <c r="K7" s="32" t="s">
        <v>156</v>
      </c>
      <c r="L7" s="13"/>
      <c r="M7" s="13"/>
      <c r="N7" s="13"/>
      <c r="O7" s="13"/>
    </row>
    <row r="8" spans="1:16">
      <c r="B8" s="13">
        <v>5</v>
      </c>
      <c r="C8" s="29"/>
      <c r="D8" s="30"/>
      <c r="F8" s="13">
        <v>5</v>
      </c>
      <c r="G8" s="13"/>
      <c r="H8" s="32"/>
      <c r="J8" s="13">
        <v>5</v>
      </c>
      <c r="K8" s="32" t="s">
        <v>156</v>
      </c>
      <c r="L8" s="13"/>
      <c r="M8" s="13"/>
      <c r="N8" s="13"/>
      <c r="O8" s="13"/>
    </row>
    <row r="9" spans="1:16">
      <c r="B9" s="33">
        <v>6</v>
      </c>
      <c r="C9" s="29"/>
      <c r="D9" s="30"/>
      <c r="F9" s="13"/>
      <c r="G9" s="13"/>
      <c r="H9" s="13"/>
    </row>
    <row r="10" spans="1:16">
      <c r="B10" s="13">
        <v>7</v>
      </c>
      <c r="C10" s="34"/>
      <c r="D10" s="30"/>
      <c r="F10" s="13"/>
      <c r="G10" s="13"/>
      <c r="H10" s="35" t="s">
        <v>157</v>
      </c>
    </row>
    <row r="11" spans="1:16">
      <c r="F11" s="13">
        <v>1</v>
      </c>
      <c r="G11" s="13"/>
      <c r="H11" s="32"/>
    </row>
    <row r="12" spans="1:16">
      <c r="F12" s="13">
        <v>2</v>
      </c>
      <c r="G12" s="13"/>
      <c r="H12" s="32"/>
    </row>
    <row r="13" spans="1:16">
      <c r="F13" s="13">
        <v>3</v>
      </c>
      <c r="G13" s="13"/>
      <c r="H13" s="36"/>
    </row>
    <row r="14" spans="1:16">
      <c r="F14" s="13">
        <v>4</v>
      </c>
      <c r="G14" s="19"/>
      <c r="H14" s="13"/>
    </row>
    <row r="15" spans="1:16" ht="24.75" customHeight="1">
      <c r="F15" s="13">
        <v>5</v>
      </c>
      <c r="G15" s="19"/>
      <c r="H15" s="13"/>
    </row>
    <row r="16" spans="1:16" ht="3" hidden="1" customHeight="1">
      <c r="A16" s="37"/>
      <c r="B16" s="37"/>
      <c r="C16" s="37"/>
      <c r="D16" s="37"/>
      <c r="F16" s="37"/>
      <c r="G16" s="37"/>
      <c r="H16" s="38" t="s">
        <v>158</v>
      </c>
      <c r="J16" s="37"/>
      <c r="K16" s="37"/>
      <c r="L16" s="37"/>
      <c r="M16" s="37"/>
      <c r="N16" s="37"/>
      <c r="O16" s="37"/>
      <c r="P16" s="37"/>
    </row>
    <row r="17" spans="1:15">
      <c r="A17" s="21" t="s">
        <v>159</v>
      </c>
      <c r="B17" s="22" t="s">
        <v>11</v>
      </c>
      <c r="C17" s="23" t="s">
        <v>150</v>
      </c>
      <c r="D17" s="22" t="s">
        <v>160</v>
      </c>
      <c r="E17" s="24"/>
      <c r="F17" s="25" t="s">
        <v>11</v>
      </c>
      <c r="G17" s="25"/>
      <c r="H17" s="32" t="s">
        <v>156</v>
      </c>
      <c r="I17" s="24"/>
      <c r="J17" s="27" t="s">
        <v>11</v>
      </c>
      <c r="K17" s="27" t="s">
        <v>153</v>
      </c>
      <c r="L17" s="27" t="s">
        <v>151</v>
      </c>
      <c r="M17" s="27"/>
      <c r="N17" s="27" t="s">
        <v>14</v>
      </c>
      <c r="O17" s="27" t="s">
        <v>15</v>
      </c>
    </row>
    <row r="18" spans="1:15">
      <c r="B18" s="13"/>
      <c r="C18" s="19"/>
      <c r="D18" s="13"/>
      <c r="F18" s="13"/>
      <c r="H18" s="37"/>
      <c r="J18" s="13"/>
      <c r="K18" s="13"/>
      <c r="L18" s="13"/>
      <c r="M18" s="13"/>
      <c r="N18" s="13"/>
      <c r="O18" s="13"/>
    </row>
    <row r="19" spans="1:15">
      <c r="B19" s="13">
        <v>1</v>
      </c>
      <c r="C19" s="19"/>
      <c r="D19" s="15"/>
      <c r="F19" s="13"/>
      <c r="G19" s="13"/>
      <c r="H19" s="25" t="s">
        <v>152</v>
      </c>
      <c r="J19" s="13">
        <v>1</v>
      </c>
      <c r="K19" s="13"/>
      <c r="L19" s="13"/>
      <c r="M19" s="13"/>
      <c r="N19" s="13"/>
      <c r="O19" s="13"/>
    </row>
    <row r="20" spans="1:15">
      <c r="B20" s="13">
        <v>2</v>
      </c>
      <c r="C20" s="18"/>
      <c r="D20" s="16"/>
      <c r="F20" s="13"/>
      <c r="G20" s="13"/>
      <c r="H20" s="28" t="s">
        <v>155</v>
      </c>
      <c r="J20" s="13">
        <v>2</v>
      </c>
      <c r="K20" s="13"/>
      <c r="L20" s="13"/>
      <c r="M20" s="13"/>
      <c r="N20" s="13"/>
      <c r="O20" s="13"/>
    </row>
    <row r="21" spans="1:15">
      <c r="B21" s="13">
        <v>3</v>
      </c>
      <c r="C21" s="18"/>
      <c r="D21" s="39"/>
      <c r="F21" s="13">
        <v>1</v>
      </c>
      <c r="G21" s="13"/>
      <c r="H21" s="13"/>
      <c r="J21" s="13">
        <v>3</v>
      </c>
      <c r="K21" s="13"/>
      <c r="L21" s="13"/>
      <c r="M21" s="13"/>
      <c r="N21" s="13"/>
      <c r="O21" s="13"/>
    </row>
    <row r="22" spans="1:15">
      <c r="B22" s="13">
        <v>4</v>
      </c>
      <c r="C22" s="19"/>
      <c r="D22" s="15"/>
      <c r="F22" s="13"/>
      <c r="G22" s="13"/>
      <c r="H22" s="13"/>
      <c r="J22" s="13">
        <v>4</v>
      </c>
      <c r="K22" s="13"/>
      <c r="L22" s="13"/>
      <c r="M22" s="13"/>
      <c r="N22" s="13"/>
      <c r="O22" s="13"/>
    </row>
    <row r="23" spans="1:15">
      <c r="B23" s="13">
        <v>5</v>
      </c>
      <c r="C23" s="18"/>
      <c r="D23" s="39"/>
      <c r="F23" s="13">
        <v>3</v>
      </c>
      <c r="G23" s="13"/>
      <c r="H23" s="13"/>
      <c r="J23" s="13">
        <v>5</v>
      </c>
      <c r="K23" s="13"/>
      <c r="L23" s="13"/>
      <c r="M23" s="13"/>
      <c r="N23" s="13"/>
      <c r="O23" s="13"/>
    </row>
    <row r="24" spans="1:15">
      <c r="B24" s="13">
        <v>6</v>
      </c>
      <c r="C24" s="19"/>
      <c r="D24" s="39"/>
      <c r="F24" s="13">
        <v>4</v>
      </c>
      <c r="G24" s="13"/>
      <c r="H24" s="13"/>
    </row>
    <row r="25" spans="1:15" ht="22.5" customHeight="1">
      <c r="B25" s="13">
        <v>7</v>
      </c>
      <c r="C25" s="19"/>
      <c r="D25" s="39"/>
      <c r="F25" s="13">
        <v>5</v>
      </c>
      <c r="G25" s="13"/>
      <c r="H25" s="13"/>
    </row>
    <row r="26" spans="1:15" ht="2.25" hidden="1" customHeight="1">
      <c r="B26" s="13">
        <v>8</v>
      </c>
      <c r="C26" s="19"/>
      <c r="D26" s="13"/>
      <c r="F26" s="13"/>
      <c r="G26" s="13"/>
      <c r="H26" s="13"/>
    </row>
    <row r="27" spans="1:15">
      <c r="B27" s="13">
        <v>9</v>
      </c>
      <c r="C27" s="19"/>
      <c r="D27" s="15"/>
      <c r="F27" s="13"/>
      <c r="G27" s="13"/>
      <c r="H27" s="35" t="s">
        <v>157</v>
      </c>
    </row>
    <row r="28" spans="1:15">
      <c r="B28" s="13">
        <v>10</v>
      </c>
      <c r="C28" s="19"/>
      <c r="D28" s="15"/>
      <c r="F28" s="13">
        <v>1</v>
      </c>
      <c r="G28" s="13"/>
      <c r="H28" s="13"/>
    </row>
    <row r="29" spans="1:15">
      <c r="B29" s="33">
        <v>11</v>
      </c>
      <c r="C29" s="40"/>
      <c r="D29" s="39"/>
      <c r="F29" s="13">
        <v>2</v>
      </c>
      <c r="G29" s="13"/>
      <c r="H29" s="13"/>
    </row>
    <row r="30" spans="1:15">
      <c r="B30" s="13">
        <v>12</v>
      </c>
      <c r="C30" s="19"/>
      <c r="D30" s="39"/>
      <c r="F30" s="13">
        <v>3</v>
      </c>
      <c r="G30" s="13"/>
      <c r="H30" s="13"/>
    </row>
    <row r="31" spans="1:15">
      <c r="F31" s="2">
        <v>4</v>
      </c>
      <c r="G31" s="13"/>
      <c r="H31" s="13"/>
    </row>
    <row r="32" spans="1:15">
      <c r="F32" s="2">
        <v>5</v>
      </c>
      <c r="G32" s="13"/>
      <c r="H32" s="13"/>
    </row>
    <row r="37" spans="1:15">
      <c r="A37" s="21" t="s">
        <v>161</v>
      </c>
      <c r="B37" s="22" t="s">
        <v>11</v>
      </c>
      <c r="C37" s="23" t="s">
        <v>150</v>
      </c>
      <c r="D37" s="22" t="s">
        <v>160</v>
      </c>
      <c r="E37" s="24"/>
      <c r="F37" s="25" t="s">
        <v>11</v>
      </c>
      <c r="G37" s="25"/>
      <c r="H37" s="32" t="s">
        <v>156</v>
      </c>
      <c r="I37" s="24"/>
      <c r="J37" s="27" t="s">
        <v>11</v>
      </c>
      <c r="K37" s="27" t="s">
        <v>153</v>
      </c>
      <c r="L37" s="27" t="s">
        <v>151</v>
      </c>
      <c r="M37" s="27"/>
      <c r="N37" s="27" t="s">
        <v>14</v>
      </c>
      <c r="O37" s="27" t="s">
        <v>15</v>
      </c>
    </row>
    <row r="38" spans="1:15">
      <c r="B38" s="13"/>
      <c r="C38" s="19"/>
      <c r="D38" s="13"/>
      <c r="F38" s="13"/>
      <c r="H38" s="37"/>
      <c r="J38" s="13"/>
      <c r="K38" s="13"/>
      <c r="L38" s="13"/>
      <c r="M38" s="13"/>
      <c r="N38" s="13"/>
      <c r="O38" s="13"/>
    </row>
    <row r="39" spans="1:15">
      <c r="B39" s="13">
        <v>1</v>
      </c>
      <c r="C39" s="19"/>
      <c r="D39" s="13"/>
      <c r="F39" s="13"/>
      <c r="G39" s="13"/>
      <c r="H39" s="25" t="s">
        <v>152</v>
      </c>
      <c r="J39" s="13">
        <v>1</v>
      </c>
      <c r="K39" s="13"/>
      <c r="L39" s="13"/>
      <c r="M39" s="13"/>
      <c r="N39" s="13"/>
      <c r="O39" s="13"/>
    </row>
    <row r="40" spans="1:15">
      <c r="B40" s="13">
        <v>2</v>
      </c>
      <c r="C40" s="18"/>
      <c r="D40" s="13"/>
      <c r="F40" s="13"/>
      <c r="G40" s="13"/>
      <c r="H40" s="28" t="s">
        <v>155</v>
      </c>
      <c r="J40" s="13">
        <v>2</v>
      </c>
      <c r="K40" s="13"/>
      <c r="L40" s="13"/>
      <c r="M40" s="13"/>
      <c r="N40" s="13"/>
      <c r="O40" s="13"/>
    </row>
    <row r="41" spans="1:15">
      <c r="B41" s="13">
        <v>3</v>
      </c>
      <c r="C41" s="18"/>
      <c r="D41" s="13"/>
      <c r="F41" s="13"/>
      <c r="G41" s="13"/>
      <c r="H41" s="16"/>
      <c r="J41" s="13">
        <v>3</v>
      </c>
      <c r="K41" s="13"/>
      <c r="L41" s="13"/>
      <c r="M41" s="13"/>
      <c r="N41" s="13"/>
      <c r="O41" s="13"/>
    </row>
    <row r="42" spans="1:15">
      <c r="B42" s="13">
        <v>4</v>
      </c>
      <c r="C42" s="19"/>
      <c r="D42" s="13"/>
      <c r="F42" s="13"/>
      <c r="G42" s="13"/>
      <c r="H42" s="13"/>
      <c r="J42" s="13">
        <v>4</v>
      </c>
      <c r="K42" s="13"/>
      <c r="L42" s="13"/>
      <c r="M42" s="13"/>
      <c r="N42" s="13"/>
      <c r="O42" s="13"/>
    </row>
    <row r="43" spans="1:15">
      <c r="B43" s="13">
        <v>5</v>
      </c>
      <c r="C43" s="18"/>
      <c r="D43" s="39"/>
      <c r="F43" s="13"/>
      <c r="G43" s="13"/>
      <c r="H43" s="13"/>
      <c r="J43" s="13">
        <v>5</v>
      </c>
      <c r="K43" s="13"/>
      <c r="L43" s="13"/>
      <c r="M43" s="13"/>
      <c r="N43" s="13"/>
      <c r="O43" s="13"/>
    </row>
    <row r="44" spans="1:15">
      <c r="B44" s="13"/>
      <c r="C44" s="19"/>
      <c r="D44" s="39"/>
      <c r="F44" s="13"/>
      <c r="G44" s="13"/>
      <c r="H44" s="13"/>
    </row>
    <row r="45" spans="1:15">
      <c r="B45" s="13"/>
      <c r="C45" s="19"/>
      <c r="D45" s="39"/>
      <c r="F45" s="13"/>
      <c r="G45" s="13"/>
      <c r="H45" s="13"/>
    </row>
    <row r="46" spans="1:15">
      <c r="B46" s="13"/>
      <c r="C46" s="19"/>
      <c r="D46" s="13"/>
      <c r="F46" s="13"/>
      <c r="G46" s="13"/>
      <c r="H46" s="13"/>
    </row>
    <row r="47" spans="1:15">
      <c r="B47" s="13"/>
      <c r="C47" s="19"/>
      <c r="D47" s="15"/>
      <c r="F47" s="13"/>
      <c r="G47" s="13"/>
      <c r="H47" s="35" t="s">
        <v>157</v>
      </c>
    </row>
    <row r="48" spans="1:15">
      <c r="B48" s="13"/>
      <c r="C48" s="19"/>
      <c r="D48" s="15"/>
      <c r="F48" s="13"/>
      <c r="G48" s="13"/>
      <c r="H48" s="13"/>
    </row>
    <row r="49" spans="2:8">
      <c r="B49" s="33"/>
      <c r="C49" s="40"/>
      <c r="D49" s="39"/>
      <c r="F49" s="13"/>
      <c r="G49" s="13"/>
      <c r="H49" s="13"/>
    </row>
    <row r="50" spans="2:8">
      <c r="B50" s="13"/>
      <c r="C50" s="19"/>
      <c r="D50" s="39"/>
      <c r="F50" s="13"/>
      <c r="G50" s="13"/>
      <c r="H50" s="13"/>
    </row>
    <row r="51" spans="2:8">
      <c r="G51" s="13"/>
      <c r="H51" s="13"/>
    </row>
    <row r="52" spans="2:8">
      <c r="G52" s="13"/>
      <c r="H52" s="13"/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zoomScaleNormal="100" workbookViewId="0">
      <selection activeCell="B1" sqref="B1"/>
    </sheetView>
  </sheetViews>
  <sheetFormatPr defaultColWidth="9" defaultRowHeight="14.25"/>
  <cols>
    <col min="1" max="1" width="31.140625" style="2" customWidth="1"/>
    <col min="2" max="2" width="25.5703125" style="2" customWidth="1"/>
    <col min="3" max="3" width="12.5703125" style="2" customWidth="1"/>
    <col min="4" max="4" width="17.140625" style="2" customWidth="1"/>
    <col min="5" max="5" width="14.5703125" style="2" customWidth="1"/>
    <col min="6" max="6" width="20.7109375" style="2" customWidth="1"/>
    <col min="7" max="7" width="16.28515625" style="2" customWidth="1"/>
    <col min="8" max="8" width="20" style="2" customWidth="1"/>
    <col min="9" max="16384" width="9" style="2"/>
  </cols>
  <sheetData>
    <row r="1" spans="1:8" ht="15"/>
    <row r="2" spans="1:8" ht="15">
      <c r="A2" s="41" t="s">
        <v>162</v>
      </c>
      <c r="C2" s="1" t="s">
        <v>163</v>
      </c>
      <c r="D2" s="1" t="s">
        <v>164</v>
      </c>
      <c r="E2" s="1" t="s">
        <v>165</v>
      </c>
      <c r="F2" s="1" t="s">
        <v>166</v>
      </c>
      <c r="G2" s="1" t="s">
        <v>167</v>
      </c>
    </row>
    <row r="3" spans="1:8" ht="15">
      <c r="A3" s="42"/>
      <c r="B3" s="43" t="s">
        <v>168</v>
      </c>
      <c r="C3" s="13">
        <v>4</v>
      </c>
      <c r="D3" s="13">
        <v>4</v>
      </c>
      <c r="E3" s="13">
        <v>4</v>
      </c>
      <c r="F3" s="13">
        <v>8</v>
      </c>
      <c r="G3" s="13">
        <v>8</v>
      </c>
    </row>
    <row r="4" spans="1:8" ht="15">
      <c r="A4" s="42"/>
      <c r="B4" s="43" t="s">
        <v>169</v>
      </c>
      <c r="C4" s="33">
        <v>4</v>
      </c>
      <c r="D4" s="33">
        <v>4</v>
      </c>
      <c r="E4" s="33">
        <v>5</v>
      </c>
      <c r="F4" s="33">
        <v>5</v>
      </c>
      <c r="G4" s="33">
        <v>4</v>
      </c>
    </row>
    <row r="5" spans="1:8" ht="15">
      <c r="A5" s="42"/>
      <c r="B5" s="43" t="s">
        <v>170</v>
      </c>
      <c r="C5" s="44">
        <f>C3+C4</f>
        <v>8</v>
      </c>
      <c r="D5" s="44">
        <f>D3+D4</f>
        <v>8</v>
      </c>
      <c r="E5" s="44">
        <f>E3+E4</f>
        <v>9</v>
      </c>
      <c r="F5" s="44">
        <f>F3+F4</f>
        <v>13</v>
      </c>
      <c r="G5" s="44">
        <f>G3+G4</f>
        <v>12</v>
      </c>
    </row>
    <row r="6" spans="1:8" ht="15">
      <c r="A6" s="42"/>
      <c r="B6" s="43" t="s">
        <v>171</v>
      </c>
      <c r="C6" s="45">
        <f>C5+D5+E5+F5+G5</f>
        <v>50</v>
      </c>
    </row>
    <row r="7" spans="1:8" ht="15">
      <c r="A7" s="42"/>
    </row>
    <row r="8" spans="1:8" ht="15">
      <c r="A8" s="42"/>
    </row>
    <row r="9" spans="1:8" ht="15">
      <c r="A9" s="41"/>
      <c r="C9" s="1"/>
      <c r="D9" s="1"/>
      <c r="E9" s="1"/>
      <c r="F9" s="1"/>
      <c r="G9" s="1"/>
      <c r="H9" s="46"/>
    </row>
    <row r="10" spans="1:8" ht="15">
      <c r="A10" s="42"/>
      <c r="B10" s="43" t="s">
        <v>168</v>
      </c>
      <c r="C10" s="13"/>
      <c r="D10" s="13"/>
      <c r="E10" s="13"/>
      <c r="F10" s="13"/>
      <c r="G10" s="13"/>
    </row>
    <row r="11" spans="1:8" ht="15">
      <c r="A11" s="42"/>
      <c r="B11" s="43" t="s">
        <v>169</v>
      </c>
      <c r="C11" s="33"/>
      <c r="D11" s="33"/>
      <c r="E11" s="33"/>
      <c r="F11" s="33"/>
      <c r="G11" s="33"/>
    </row>
    <row r="12" spans="1:8" ht="15">
      <c r="A12" s="42"/>
      <c r="B12" s="43" t="s">
        <v>170</v>
      </c>
      <c r="C12" s="44">
        <f>C10+C11</f>
        <v>0</v>
      </c>
      <c r="D12" s="44">
        <f>D10+D11</f>
        <v>0</v>
      </c>
      <c r="E12" s="44">
        <f>E10+E11</f>
        <v>0</v>
      </c>
      <c r="F12" s="44">
        <f>F10+F11</f>
        <v>0</v>
      </c>
      <c r="G12" s="44">
        <f>G10+G11</f>
        <v>0</v>
      </c>
    </row>
    <row r="13" spans="1:8" ht="15">
      <c r="A13" s="42"/>
      <c r="B13" s="43" t="s">
        <v>171</v>
      </c>
      <c r="C13" s="45">
        <f>C12+D12+E12+F12+G12</f>
        <v>0</v>
      </c>
    </row>
    <row r="14" spans="1:8" ht="15">
      <c r="A14" s="42"/>
    </row>
    <row r="15" spans="1:8" ht="15">
      <c r="A15" s="42"/>
    </row>
    <row r="16" spans="1:8" ht="15">
      <c r="A16" s="42"/>
    </row>
    <row r="17" spans="1:7" ht="15">
      <c r="A17" s="41"/>
      <c r="C17" s="1"/>
      <c r="D17" s="1"/>
      <c r="E17" s="1"/>
      <c r="F17" s="1"/>
      <c r="G17" s="1"/>
    </row>
    <row r="18" spans="1:7" ht="15">
      <c r="B18" s="43" t="s">
        <v>168</v>
      </c>
      <c r="C18" s="13"/>
      <c r="D18" s="13"/>
      <c r="E18" s="13"/>
      <c r="F18" s="13"/>
      <c r="G18" s="13"/>
    </row>
    <row r="19" spans="1:7" ht="15">
      <c r="B19" s="43" t="s">
        <v>169</v>
      </c>
      <c r="C19" s="33"/>
      <c r="D19" s="33"/>
      <c r="E19" s="33"/>
      <c r="F19" s="33"/>
      <c r="G19" s="33"/>
    </row>
    <row r="20" spans="1:7" ht="15">
      <c r="B20" s="43" t="s">
        <v>170</v>
      </c>
      <c r="C20" s="44">
        <f>C18+C19</f>
        <v>0</v>
      </c>
      <c r="D20" s="44">
        <f>D18+D19</f>
        <v>0</v>
      </c>
      <c r="E20" s="44">
        <f>E18+E19</f>
        <v>0</v>
      </c>
      <c r="F20" s="44">
        <f>F18+F19</f>
        <v>0</v>
      </c>
      <c r="G20" s="44">
        <f>G18+G19</f>
        <v>0</v>
      </c>
    </row>
    <row r="21" spans="1:7" ht="15">
      <c r="B21" s="43" t="s">
        <v>171</v>
      </c>
      <c r="C21" s="45">
        <f>C20+D20+E20+F20+G20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zoomScaleNormal="100" workbookViewId="0">
      <selection activeCell="A2" sqref="A2"/>
    </sheetView>
  </sheetViews>
  <sheetFormatPr defaultColWidth="9" defaultRowHeight="15.75"/>
  <cols>
    <col min="1" max="1" width="14.7109375" style="100" customWidth="1"/>
    <col min="2" max="2" width="9" style="100"/>
    <col min="3" max="3" width="14" style="100" customWidth="1"/>
    <col min="4" max="16384" width="9" style="100"/>
  </cols>
  <sheetData>
    <row r="1" spans="1:3" ht="18.75">
      <c r="A1" s="96" t="s">
        <v>172</v>
      </c>
      <c r="C1" s="96" t="s">
        <v>173</v>
      </c>
    </row>
    <row r="2" spans="1:3" ht="18.75">
      <c r="A2" s="101" t="s">
        <v>27</v>
      </c>
      <c r="C2" s="97" t="s">
        <v>59</v>
      </c>
    </row>
    <row r="3" spans="1:3" ht="18.75">
      <c r="A3" s="102" t="s">
        <v>174</v>
      </c>
      <c r="C3" s="98" t="s">
        <v>63</v>
      </c>
    </row>
    <row r="4" spans="1:3" ht="18.75">
      <c r="A4" s="103" t="s">
        <v>18</v>
      </c>
      <c r="C4" s="99" t="s">
        <v>73</v>
      </c>
    </row>
    <row r="5" spans="1:3">
      <c r="A5" s="104" t="s">
        <v>175</v>
      </c>
    </row>
  </sheetData>
  <conditionalFormatting sqref="C2:C4">
    <cfRule type="containsText" dxfId="83" priority="2" operator="containsText" text="Low">
      <formula>NOT(ISERROR(SEARCH("Low",C2)))</formula>
    </cfRule>
    <cfRule type="containsText" dxfId="82" priority="3" operator="containsText" text="Medium">
      <formula>NOT(ISERROR(SEARCH("Medium",C2)))</formula>
    </cfRule>
    <cfRule type="containsText" dxfId="81" priority="4" operator="containsText" text="High">
      <formula>NOT(ISERROR(SEARCH("High",C2)))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zoomScaleNormal="100" workbookViewId="0">
      <selection activeCell="B19" sqref="B19"/>
    </sheetView>
  </sheetViews>
  <sheetFormatPr defaultColWidth="9" defaultRowHeight="15.75"/>
  <cols>
    <col min="1" max="1" width="9" style="17"/>
    <col min="2" max="2" width="36.42578125" style="17" customWidth="1"/>
    <col min="3" max="3" width="23.5703125" style="17" customWidth="1"/>
    <col min="4" max="4" width="12" style="17" customWidth="1"/>
    <col min="5" max="5" width="9" style="17"/>
    <col min="6" max="6" width="28.7109375" style="17" customWidth="1"/>
    <col min="7" max="7" width="55" style="17" customWidth="1"/>
    <col min="8" max="8" width="23.5703125" style="17" customWidth="1"/>
    <col min="9" max="9" width="32.85546875" style="17" customWidth="1"/>
    <col min="10" max="10" width="29" style="17" customWidth="1"/>
    <col min="11" max="16384" width="9" style="17"/>
  </cols>
  <sheetData>
    <row r="1" spans="1:10" ht="32.25">
      <c r="A1" s="105"/>
      <c r="B1" s="106" t="s">
        <v>176</v>
      </c>
      <c r="C1" s="106" t="s">
        <v>177</v>
      </c>
    </row>
    <row r="2" spans="1:10" ht="16.5">
      <c r="A2" s="105"/>
      <c r="B2" s="106" t="s">
        <v>132</v>
      </c>
      <c r="C2" s="107">
        <v>45939</v>
      </c>
    </row>
    <row r="3" spans="1:10">
      <c r="A3" s="105"/>
    </row>
    <row r="4" spans="1:10" ht="16.5">
      <c r="A4" s="108" t="s">
        <v>178</v>
      </c>
      <c r="B4" s="109" t="s">
        <v>179</v>
      </c>
      <c r="C4" s="109" t="s">
        <v>180</v>
      </c>
      <c r="D4" s="108" t="s">
        <v>181</v>
      </c>
      <c r="E4" s="109" t="s">
        <v>182</v>
      </c>
      <c r="F4" s="109" t="s">
        <v>183</v>
      </c>
      <c r="G4" s="108" t="s">
        <v>184</v>
      </c>
      <c r="H4" s="109" t="s">
        <v>185</v>
      </c>
      <c r="I4" s="108" t="s">
        <v>14</v>
      </c>
      <c r="J4" s="108" t="s">
        <v>186</v>
      </c>
    </row>
    <row r="5" spans="1:10" ht="15.75" customHeight="1">
      <c r="A5" s="74">
        <v>1</v>
      </c>
      <c r="B5" s="69" t="s">
        <v>187</v>
      </c>
      <c r="C5" s="159" t="s">
        <v>136</v>
      </c>
      <c r="D5" s="113" t="s">
        <v>188</v>
      </c>
      <c r="E5" s="160">
        <v>1</v>
      </c>
      <c r="F5" s="161" t="s">
        <v>189</v>
      </c>
      <c r="G5" s="110" t="s">
        <v>190</v>
      </c>
      <c r="H5" s="160">
        <v>50</v>
      </c>
      <c r="I5" s="87" t="s">
        <v>27</v>
      </c>
      <c r="J5" s="69"/>
    </row>
    <row r="6" spans="1:10" ht="15.75" customHeight="1">
      <c r="A6" s="74">
        <v>2</v>
      </c>
      <c r="B6" s="69" t="s">
        <v>187</v>
      </c>
      <c r="C6" s="159"/>
      <c r="D6" s="113" t="s">
        <v>191</v>
      </c>
      <c r="E6" s="160"/>
      <c r="F6" s="160"/>
      <c r="G6" s="111" t="s">
        <v>192</v>
      </c>
      <c r="H6" s="160"/>
      <c r="I6" s="87" t="s">
        <v>27</v>
      </c>
      <c r="J6" s="69"/>
    </row>
    <row r="7" spans="1:10" ht="15.75" customHeight="1">
      <c r="A7" s="74">
        <v>3</v>
      </c>
      <c r="B7" s="69" t="s">
        <v>187</v>
      </c>
      <c r="C7" s="159"/>
      <c r="D7" s="113" t="s">
        <v>193</v>
      </c>
      <c r="E7" s="160"/>
      <c r="F7" s="160"/>
      <c r="G7" s="112" t="s">
        <v>194</v>
      </c>
      <c r="H7" s="160"/>
      <c r="I7" s="87" t="s">
        <v>27</v>
      </c>
      <c r="J7" s="69"/>
    </row>
    <row r="8" spans="1:10" ht="15.75" customHeight="1">
      <c r="A8" s="74">
        <v>4</v>
      </c>
      <c r="B8" s="69" t="s">
        <v>187</v>
      </c>
      <c r="C8" s="159"/>
      <c r="D8" s="113" t="s">
        <v>195</v>
      </c>
      <c r="E8" s="160"/>
      <c r="F8" s="160"/>
      <c r="G8" s="110" t="s">
        <v>196</v>
      </c>
      <c r="H8" s="160"/>
      <c r="I8" s="81" t="s">
        <v>174</v>
      </c>
      <c r="J8" s="69"/>
    </row>
    <row r="9" spans="1:10" ht="15.75" customHeight="1">
      <c r="A9" s="74">
        <v>5</v>
      </c>
      <c r="B9" s="69" t="s">
        <v>187</v>
      </c>
      <c r="C9" s="159"/>
      <c r="D9" s="113" t="s">
        <v>197</v>
      </c>
      <c r="E9" s="160"/>
      <c r="F9" s="160"/>
      <c r="G9" s="110" t="s">
        <v>198</v>
      </c>
      <c r="H9" s="160"/>
      <c r="I9" s="81" t="s">
        <v>174</v>
      </c>
      <c r="J9" s="69"/>
    </row>
    <row r="10" spans="1:10">
      <c r="A10" s="74">
        <v>6</v>
      </c>
      <c r="B10" s="111"/>
      <c r="C10" s="159"/>
      <c r="D10" s="69"/>
      <c r="E10" s="160"/>
      <c r="F10" s="160"/>
      <c r="G10" s="110"/>
      <c r="H10" s="160"/>
      <c r="I10" s="69"/>
      <c r="J10" s="69"/>
    </row>
    <row r="11" spans="1:10">
      <c r="A11" s="74">
        <v>7</v>
      </c>
      <c r="B11" s="111"/>
      <c r="C11" s="159"/>
      <c r="D11" s="69"/>
      <c r="E11" s="160"/>
      <c r="F11" s="160"/>
      <c r="G11" s="110"/>
      <c r="H11" s="160"/>
      <c r="I11" s="69"/>
      <c r="J11" s="69"/>
    </row>
    <row r="12" spans="1:10">
      <c r="A12" s="74">
        <v>8</v>
      </c>
      <c r="B12" s="69"/>
      <c r="C12" s="159"/>
      <c r="D12" s="69"/>
      <c r="E12" s="160"/>
      <c r="F12" s="160"/>
      <c r="G12" s="69"/>
      <c r="H12" s="160"/>
      <c r="I12" s="69"/>
      <c r="J12" s="69"/>
    </row>
    <row r="13" spans="1:10">
      <c r="A13" s="74">
        <v>9</v>
      </c>
      <c r="B13" s="69"/>
      <c r="C13" s="159"/>
      <c r="D13" s="69"/>
      <c r="E13" s="160"/>
      <c r="F13" s="160"/>
      <c r="G13" s="110"/>
      <c r="H13" s="160"/>
      <c r="I13" s="69"/>
      <c r="J13" s="69"/>
    </row>
  </sheetData>
  <mergeCells count="4">
    <mergeCell ref="C5:C13"/>
    <mergeCell ref="E5:E13"/>
    <mergeCell ref="F5:F13"/>
    <mergeCell ref="H5:H13"/>
  </mergeCells>
  <conditionalFormatting sqref="B5:B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3">
    <cfRule type="cellIs" dxfId="80" priority="3" operator="equal">
      <formula>"Tester &amp; DevOps Engr"</formula>
    </cfRule>
    <cfRule type="cellIs" dxfId="79" priority="4" operator="equal">
      <formula>"Back End Developer"</formula>
    </cfRule>
    <cfRule type="cellIs" dxfId="78" priority="5" operator="equal">
      <formula>"Front End Developer"</formula>
    </cfRule>
  </conditionalFormatting>
  <conditionalFormatting sqref="I10">
    <cfRule type="cellIs" dxfId="77" priority="10" operator="equal">
      <formula>"Not Started"</formula>
    </cfRule>
    <cfRule type="cellIs" dxfId="76" priority="11" operator="equal">
      <formula>"Overdue"</formula>
    </cfRule>
    <cfRule type="cellIs" dxfId="75" priority="12" operator="equal">
      <formula>"In Progress"</formula>
    </cfRule>
    <cfRule type="cellIs" dxfId="74" priority="13" operator="equal">
      <formula>"Completed"</formula>
    </cfRule>
  </conditionalFormatting>
  <conditionalFormatting sqref="I12">
    <cfRule type="cellIs" dxfId="73" priority="18" operator="equal">
      <formula>"Not Started"</formula>
    </cfRule>
    <cfRule type="cellIs" dxfId="72" priority="19" operator="equal">
      <formula>"Overdue"</formula>
    </cfRule>
    <cfRule type="cellIs" dxfId="71" priority="20" operator="equal">
      <formula>"In Progress"</formula>
    </cfRule>
    <cfRule type="cellIs" dxfId="70" priority="21" operator="equal">
      <formula>"Completed"</formula>
    </cfRule>
  </conditionalFormatting>
  <conditionalFormatting sqref="I11">
    <cfRule type="cellIs" dxfId="69" priority="26" operator="equal">
      <formula>"Not Started"</formula>
    </cfRule>
    <cfRule type="cellIs" dxfId="68" priority="27" operator="equal">
      <formula>"Overdue"</formula>
    </cfRule>
    <cfRule type="cellIs" dxfId="67" priority="28" operator="equal">
      <formula>"In Progress"</formula>
    </cfRule>
    <cfRule type="cellIs" dxfId="66" priority="29" operator="equal">
      <formula>"Completed"</formula>
    </cfRule>
  </conditionalFormatting>
  <conditionalFormatting sqref="I13">
    <cfRule type="cellIs" dxfId="65" priority="30" operator="equal">
      <formula>"Not Started"</formula>
    </cfRule>
    <cfRule type="cellIs" dxfId="64" priority="31" operator="equal">
      <formula>"Overdue"</formula>
    </cfRule>
    <cfRule type="cellIs" dxfId="63" priority="32" operator="equal">
      <formula>"In Progress"</formula>
    </cfRule>
    <cfRule type="cellIs" dxfId="62" priority="33" operator="equal">
      <formula>"Completed"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"/>
  <sheetViews>
    <sheetView zoomScaleNormal="100" workbookViewId="0">
      <selection activeCell="F17" sqref="F17"/>
    </sheetView>
  </sheetViews>
  <sheetFormatPr defaultColWidth="9" defaultRowHeight="15"/>
  <cols>
    <col min="1" max="1" width="9" style="2"/>
    <col min="2" max="2" width="36.42578125" style="2" customWidth="1"/>
    <col min="3" max="3" width="23.5703125" style="2" customWidth="1"/>
    <col min="4" max="4" width="12" style="2" customWidth="1"/>
    <col min="5" max="5" width="9" style="2"/>
    <col min="6" max="6" width="28.7109375" style="2" customWidth="1"/>
    <col min="7" max="7" width="55" style="2" customWidth="1"/>
    <col min="8" max="8" width="23.5703125" style="2" customWidth="1"/>
    <col min="9" max="9" width="32.85546875" style="2" customWidth="1"/>
    <col min="10" max="10" width="29" style="2" customWidth="1"/>
    <col min="11" max="16384" width="9" style="2"/>
  </cols>
  <sheetData>
    <row r="1" spans="1:10">
      <c r="A1" s="3"/>
      <c r="B1" s="47" t="s">
        <v>176</v>
      </c>
      <c r="C1" s="47"/>
    </row>
    <row r="2" spans="1:10">
      <c r="A2" s="3"/>
      <c r="B2" s="47" t="s">
        <v>132</v>
      </c>
      <c r="C2" s="47"/>
    </row>
    <row r="3" spans="1:10">
      <c r="A3" s="3"/>
    </row>
    <row r="4" spans="1:10">
      <c r="A4" s="48" t="s">
        <v>178</v>
      </c>
      <c r="B4" s="49" t="s">
        <v>179</v>
      </c>
      <c r="C4" s="49" t="s">
        <v>180</v>
      </c>
      <c r="D4" s="48" t="s">
        <v>181</v>
      </c>
      <c r="E4" s="50" t="s">
        <v>182</v>
      </c>
      <c r="F4" s="49" t="s">
        <v>183</v>
      </c>
      <c r="G4" s="48" t="s">
        <v>184</v>
      </c>
      <c r="H4" s="50" t="s">
        <v>185</v>
      </c>
      <c r="I4" s="48" t="s">
        <v>14</v>
      </c>
      <c r="J4" s="48" t="s">
        <v>186</v>
      </c>
    </row>
    <row r="5" spans="1:10" ht="15" customHeight="1">
      <c r="A5" s="51">
        <v>1</v>
      </c>
      <c r="B5" s="52"/>
      <c r="C5" s="162"/>
      <c r="D5" s="53"/>
      <c r="E5" s="163">
        <v>2</v>
      </c>
      <c r="F5" s="164"/>
      <c r="G5" s="54"/>
      <c r="H5" s="13"/>
      <c r="I5" s="33"/>
      <c r="J5" s="16"/>
    </row>
    <row r="6" spans="1:10">
      <c r="A6" s="51">
        <v>2</v>
      </c>
      <c r="B6" s="55"/>
      <c r="C6" s="162"/>
      <c r="D6" s="53"/>
      <c r="E6" s="163"/>
      <c r="F6" s="164"/>
      <c r="G6" s="46"/>
      <c r="H6" s="13"/>
      <c r="I6" s="13"/>
      <c r="J6" s="13"/>
    </row>
    <row r="7" spans="1:10">
      <c r="A7" s="51">
        <v>3</v>
      </c>
      <c r="B7" s="53"/>
      <c r="C7" s="162"/>
      <c r="D7" s="56"/>
      <c r="E7" s="163"/>
      <c r="F7" s="164"/>
      <c r="G7" s="57"/>
      <c r="H7" s="33"/>
      <c r="I7" s="33"/>
      <c r="J7" s="33"/>
    </row>
    <row r="8" spans="1:10">
      <c r="A8" s="51">
        <v>4</v>
      </c>
      <c r="B8" s="58"/>
      <c r="C8" s="162"/>
      <c r="D8" s="53"/>
      <c r="E8" s="163"/>
      <c r="F8" s="164"/>
      <c r="G8" s="54"/>
      <c r="H8" s="54"/>
      <c r="I8" s="33"/>
      <c r="J8" s="13"/>
    </row>
    <row r="9" spans="1:10">
      <c r="A9" s="51">
        <v>5</v>
      </c>
      <c r="B9" s="58"/>
      <c r="C9" s="162"/>
      <c r="D9" s="53"/>
      <c r="E9" s="163"/>
      <c r="F9" s="164"/>
      <c r="G9" s="54"/>
      <c r="H9" s="13"/>
      <c r="I9" s="33"/>
      <c r="J9" s="13"/>
    </row>
    <row r="10" spans="1:10">
      <c r="A10" s="51">
        <v>6</v>
      </c>
      <c r="B10" s="58"/>
      <c r="C10" s="162"/>
      <c r="D10" s="53"/>
      <c r="E10" s="163"/>
      <c r="F10" s="164"/>
      <c r="G10" s="54"/>
      <c r="H10" s="19"/>
      <c r="I10" s="70"/>
      <c r="J10" s="53"/>
    </row>
    <row r="11" spans="1:10">
      <c r="A11" s="51">
        <v>7</v>
      </c>
      <c r="B11" s="58"/>
      <c r="C11" s="162"/>
      <c r="D11" s="53"/>
      <c r="E11" s="163"/>
      <c r="F11" s="164"/>
      <c r="G11" s="54"/>
      <c r="H11" s="19"/>
      <c r="I11" s="70"/>
      <c r="J11" s="53"/>
    </row>
    <row r="12" spans="1:10">
      <c r="A12" s="51">
        <v>8</v>
      </c>
      <c r="B12" s="53"/>
      <c r="C12" s="162"/>
      <c r="D12" s="53"/>
      <c r="E12" s="163"/>
      <c r="F12" s="164"/>
      <c r="G12" s="53"/>
      <c r="H12" s="19"/>
      <c r="I12" s="70"/>
      <c r="J12" s="53"/>
    </row>
    <row r="13" spans="1:10">
      <c r="A13" s="51">
        <v>9</v>
      </c>
      <c r="B13" s="59"/>
      <c r="C13" s="162"/>
      <c r="D13" s="53"/>
      <c r="E13" s="163"/>
      <c r="F13" s="164"/>
      <c r="G13" s="54"/>
      <c r="H13" s="19"/>
      <c r="I13" s="70"/>
      <c r="J13" s="53"/>
    </row>
    <row r="14" spans="1:10">
      <c r="I14" s="70"/>
    </row>
    <row r="17" spans="9:9">
      <c r="I17" s="17"/>
    </row>
  </sheetData>
  <mergeCells count="3">
    <mergeCell ref="C5:C13"/>
    <mergeCell ref="E5:E13"/>
    <mergeCell ref="F5:F13"/>
  </mergeCells>
  <conditionalFormatting sqref="B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3">
    <cfRule type="cellIs" dxfId="61" priority="3" operator="equal">
      <formula>"Tester &amp; DevOps Engr"</formula>
    </cfRule>
    <cfRule type="cellIs" dxfId="60" priority="4" operator="equal">
      <formula>"Back End Developer"</formula>
    </cfRule>
    <cfRule type="cellIs" dxfId="59" priority="5" operator="equal">
      <formula>"Front End Developer"</formula>
    </cfRule>
  </conditionalFormatting>
  <conditionalFormatting sqref="I5:I7">
    <cfRule type="cellIs" dxfId="58" priority="6" operator="equal">
      <formula>"Not Started"</formula>
    </cfRule>
    <cfRule type="cellIs" dxfId="57" priority="7" operator="equal">
      <formula>"Overdue"</formula>
    </cfRule>
    <cfRule type="cellIs" dxfId="56" priority="8" operator="equal">
      <formula>"In Progress"</formula>
    </cfRule>
    <cfRule type="cellIs" dxfId="55" priority="9" operator="equal">
      <formula>"Completed"</formula>
    </cfRule>
  </conditionalFormatting>
  <conditionalFormatting sqref="I10">
    <cfRule type="cellIs" dxfId="54" priority="10" operator="equal">
      <formula>"Not Started"</formula>
    </cfRule>
    <cfRule type="cellIs" dxfId="53" priority="11" operator="equal">
      <formula>"Overdue"</formula>
    </cfRule>
    <cfRule type="cellIs" dxfId="52" priority="12" operator="equal">
      <formula>"In Progress"</formula>
    </cfRule>
    <cfRule type="cellIs" dxfId="51" priority="13" operator="equal">
      <formula>"Completed"</formula>
    </cfRule>
  </conditionalFormatting>
  <conditionalFormatting sqref="I8">
    <cfRule type="cellIs" dxfId="50" priority="14" operator="equal">
      <formula>"Not Started"</formula>
    </cfRule>
    <cfRule type="cellIs" dxfId="49" priority="15" operator="equal">
      <formula>"Overdue"</formula>
    </cfRule>
    <cfRule type="cellIs" dxfId="48" priority="16" operator="equal">
      <formula>"In Progress"</formula>
    </cfRule>
    <cfRule type="cellIs" dxfId="47" priority="17" operator="equal">
      <formula>"Completed"</formula>
    </cfRule>
  </conditionalFormatting>
  <conditionalFormatting sqref="I12">
    <cfRule type="cellIs" dxfId="46" priority="18" operator="equal">
      <formula>"Not Started"</formula>
    </cfRule>
    <cfRule type="cellIs" dxfId="45" priority="19" operator="equal">
      <formula>"Overdue"</formula>
    </cfRule>
    <cfRule type="cellIs" dxfId="44" priority="20" operator="equal">
      <formula>"In Progress"</formula>
    </cfRule>
    <cfRule type="cellIs" dxfId="43" priority="21" operator="equal">
      <formula>"Completed"</formula>
    </cfRule>
  </conditionalFormatting>
  <conditionalFormatting sqref="I9">
    <cfRule type="cellIs" dxfId="42" priority="22" operator="equal">
      <formula>"Not Started"</formula>
    </cfRule>
    <cfRule type="cellIs" dxfId="41" priority="23" operator="equal">
      <formula>"Overdue"</formula>
    </cfRule>
    <cfRule type="cellIs" dxfId="40" priority="24" operator="equal">
      <formula>"In Progress"</formula>
    </cfRule>
    <cfRule type="cellIs" dxfId="39" priority="25" operator="equal">
      <formula>"Completed"</formula>
    </cfRule>
  </conditionalFormatting>
  <conditionalFormatting sqref="I11">
    <cfRule type="cellIs" dxfId="38" priority="26" operator="equal">
      <formula>"Not Started"</formula>
    </cfRule>
    <cfRule type="cellIs" dxfId="37" priority="27" operator="equal">
      <formula>"Overdue"</formula>
    </cfRule>
    <cfRule type="cellIs" dxfId="36" priority="28" operator="equal">
      <formula>"In Progress"</formula>
    </cfRule>
    <cfRule type="cellIs" dxfId="35" priority="29" operator="equal">
      <formula>"Completed"</formula>
    </cfRule>
  </conditionalFormatting>
  <conditionalFormatting sqref="I13">
    <cfRule type="cellIs" dxfId="34" priority="30" operator="equal">
      <formula>"Not Started"</formula>
    </cfRule>
    <cfRule type="cellIs" dxfId="33" priority="31" operator="equal">
      <formula>"Overdue"</formula>
    </cfRule>
    <cfRule type="cellIs" dxfId="32" priority="32" operator="equal">
      <formula>"In Progress"</formula>
    </cfRule>
    <cfRule type="cellIs" dxfId="31" priority="33" operator="equal">
      <formula>"Completed"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"/>
  <sheetViews>
    <sheetView zoomScaleNormal="100" workbookViewId="0">
      <selection activeCell="E14" sqref="E14"/>
    </sheetView>
  </sheetViews>
  <sheetFormatPr defaultColWidth="9" defaultRowHeight="15"/>
  <cols>
    <col min="1" max="1" width="9" style="2"/>
    <col min="2" max="2" width="36.42578125" style="2" customWidth="1"/>
    <col min="3" max="3" width="23.5703125" style="2" customWidth="1"/>
    <col min="4" max="4" width="12" style="2" customWidth="1"/>
    <col min="5" max="5" width="9" style="2"/>
    <col min="6" max="6" width="28.7109375" style="2" customWidth="1"/>
    <col min="7" max="7" width="55" style="2" customWidth="1"/>
    <col min="8" max="8" width="23.5703125" style="2" customWidth="1"/>
    <col min="9" max="9" width="32.85546875" style="2" customWidth="1"/>
    <col min="10" max="10" width="29" style="2" customWidth="1"/>
    <col min="11" max="16384" width="9" style="2"/>
  </cols>
  <sheetData>
    <row r="1" spans="1:10">
      <c r="A1" s="3"/>
      <c r="B1" s="47" t="s">
        <v>176</v>
      </c>
      <c r="C1" s="47"/>
    </row>
    <row r="2" spans="1:10">
      <c r="A2" s="3"/>
      <c r="B2" s="47" t="s">
        <v>132</v>
      </c>
      <c r="C2" s="47"/>
    </row>
    <row r="3" spans="1:10">
      <c r="A3" s="3"/>
    </row>
    <row r="4" spans="1:10">
      <c r="A4" s="48" t="s">
        <v>178</v>
      </c>
      <c r="B4" s="49" t="s">
        <v>179</v>
      </c>
      <c r="C4" s="49" t="s">
        <v>180</v>
      </c>
      <c r="D4" s="48" t="s">
        <v>181</v>
      </c>
      <c r="E4" s="50" t="s">
        <v>182</v>
      </c>
      <c r="F4" s="49" t="s">
        <v>183</v>
      </c>
      <c r="G4" s="48" t="s">
        <v>184</v>
      </c>
      <c r="H4" s="50" t="s">
        <v>185</v>
      </c>
      <c r="I4" s="48" t="s">
        <v>14</v>
      </c>
      <c r="J4" s="48" t="s">
        <v>186</v>
      </c>
    </row>
    <row r="5" spans="1:10" ht="15" customHeight="1">
      <c r="A5" s="51">
        <v>1</v>
      </c>
      <c r="B5" s="52"/>
      <c r="C5" s="162"/>
      <c r="D5" s="53"/>
      <c r="E5" s="163">
        <v>3</v>
      </c>
      <c r="F5" s="164"/>
      <c r="G5" s="54"/>
      <c r="H5" s="13"/>
      <c r="I5" s="33"/>
      <c r="J5" s="16"/>
    </row>
    <row r="6" spans="1:10">
      <c r="A6" s="51">
        <v>2</v>
      </c>
      <c r="B6" s="55"/>
      <c r="C6" s="162"/>
      <c r="D6" s="53"/>
      <c r="E6" s="163"/>
      <c r="F6" s="164"/>
      <c r="G6" s="46"/>
      <c r="H6" s="13"/>
      <c r="I6" s="13"/>
      <c r="J6" s="13"/>
    </row>
    <row r="7" spans="1:10">
      <c r="A7" s="51">
        <v>3</v>
      </c>
      <c r="B7" s="53"/>
      <c r="C7" s="162"/>
      <c r="D7" s="56"/>
      <c r="E7" s="163"/>
      <c r="F7" s="164"/>
      <c r="G7" s="57"/>
      <c r="H7" s="33"/>
      <c r="I7" s="33"/>
      <c r="J7" s="33"/>
    </row>
    <row r="8" spans="1:10">
      <c r="A8" s="51">
        <v>4</v>
      </c>
      <c r="B8" s="58"/>
      <c r="C8" s="162"/>
      <c r="D8" s="53"/>
      <c r="E8" s="163"/>
      <c r="F8" s="164"/>
      <c r="G8" s="54"/>
      <c r="H8" s="54"/>
      <c r="I8" s="33"/>
      <c r="J8" s="13"/>
    </row>
    <row r="9" spans="1:10">
      <c r="A9" s="51">
        <v>5</v>
      </c>
      <c r="B9" s="58"/>
      <c r="C9" s="162"/>
      <c r="D9" s="53"/>
      <c r="E9" s="163"/>
      <c r="F9" s="164"/>
      <c r="G9" s="54"/>
      <c r="H9" s="13"/>
      <c r="I9" s="33"/>
      <c r="J9" s="13"/>
    </row>
    <row r="10" spans="1:10">
      <c r="A10" s="51">
        <v>6</v>
      </c>
      <c r="B10" s="58"/>
      <c r="C10" s="162"/>
      <c r="D10" s="53"/>
      <c r="E10" s="163"/>
      <c r="F10" s="164"/>
      <c r="G10" s="54"/>
      <c r="H10" s="13"/>
      <c r="I10" s="33"/>
      <c r="J10" s="13"/>
    </row>
    <row r="11" spans="1:10">
      <c r="A11" s="51">
        <v>7</v>
      </c>
      <c r="B11" s="58"/>
      <c r="C11" s="162"/>
      <c r="D11" s="53"/>
      <c r="E11" s="163"/>
      <c r="F11" s="164"/>
      <c r="G11" s="54"/>
      <c r="H11" s="13"/>
      <c r="I11" s="33"/>
      <c r="J11" s="13"/>
    </row>
    <row r="12" spans="1:10">
      <c r="A12" s="51">
        <v>8</v>
      </c>
      <c r="B12" s="53"/>
      <c r="C12" s="162"/>
      <c r="D12" s="53"/>
      <c r="E12" s="163"/>
      <c r="F12" s="164"/>
      <c r="G12" s="53"/>
      <c r="H12" s="13"/>
      <c r="I12" s="33"/>
      <c r="J12" s="13"/>
    </row>
    <row r="13" spans="1:10">
      <c r="A13" s="51">
        <v>9</v>
      </c>
      <c r="B13" s="59"/>
      <c r="C13" s="162"/>
      <c r="D13" s="53"/>
      <c r="E13" s="163"/>
      <c r="F13" s="164"/>
      <c r="G13" s="54"/>
      <c r="H13" s="19"/>
      <c r="I13" s="33"/>
      <c r="J13" s="53"/>
    </row>
    <row r="17" spans="9:9">
      <c r="I17" s="17"/>
    </row>
  </sheetData>
  <mergeCells count="3">
    <mergeCell ref="C5:C13"/>
    <mergeCell ref="E5:E13"/>
    <mergeCell ref="F5:F13"/>
  </mergeCells>
  <conditionalFormatting sqref="B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3">
    <cfRule type="cellIs" dxfId="30" priority="3" operator="equal">
      <formula>"Tester &amp; DevOps Engr"</formula>
    </cfRule>
    <cfRule type="cellIs" dxfId="29" priority="4" operator="equal">
      <formula>"Back End Developer"</formula>
    </cfRule>
    <cfRule type="cellIs" dxfId="28" priority="5" operator="equal">
      <formula>"Front End Developer"</formula>
    </cfRule>
  </conditionalFormatting>
  <conditionalFormatting sqref="I5:I7">
    <cfRule type="cellIs" dxfId="27" priority="6" operator="equal">
      <formula>"Not Started"</formula>
    </cfRule>
    <cfRule type="cellIs" dxfId="26" priority="7" operator="equal">
      <formula>"Overdue"</formula>
    </cfRule>
    <cfRule type="cellIs" dxfId="25" priority="8" operator="equal">
      <formula>"In Progress"</formula>
    </cfRule>
    <cfRule type="cellIs" dxfId="24" priority="9" operator="equal">
      <formula>"Completed"</formula>
    </cfRule>
  </conditionalFormatting>
  <conditionalFormatting sqref="I10">
    <cfRule type="cellIs" dxfId="23" priority="10" operator="equal">
      <formula>"Not Started"</formula>
    </cfRule>
    <cfRule type="cellIs" dxfId="22" priority="11" operator="equal">
      <formula>"Overdue"</formula>
    </cfRule>
    <cfRule type="cellIs" dxfId="21" priority="12" operator="equal">
      <formula>"In Progress"</formula>
    </cfRule>
    <cfRule type="cellIs" dxfId="20" priority="13" operator="equal">
      <formula>"Completed"</formula>
    </cfRule>
  </conditionalFormatting>
  <conditionalFormatting sqref="I8">
    <cfRule type="cellIs" dxfId="19" priority="14" operator="equal">
      <formula>"Not Started"</formula>
    </cfRule>
    <cfRule type="cellIs" dxfId="18" priority="15" operator="equal">
      <formula>"Overdue"</formula>
    </cfRule>
    <cfRule type="cellIs" dxfId="17" priority="16" operator="equal">
      <formula>"In Progress"</formula>
    </cfRule>
    <cfRule type="cellIs" dxfId="16" priority="17" operator="equal">
      <formula>"Completed"</formula>
    </cfRule>
  </conditionalFormatting>
  <conditionalFormatting sqref="I12">
    <cfRule type="cellIs" dxfId="15" priority="18" operator="equal">
      <formula>"Not Started"</formula>
    </cfRule>
    <cfRule type="cellIs" dxfId="14" priority="19" operator="equal">
      <formula>"Overdue"</formula>
    </cfRule>
    <cfRule type="cellIs" dxfId="13" priority="20" operator="equal">
      <formula>"In Progress"</formula>
    </cfRule>
    <cfRule type="cellIs" dxfId="12" priority="21" operator="equal">
      <formula>"Completed"</formula>
    </cfRule>
  </conditionalFormatting>
  <conditionalFormatting sqref="I9">
    <cfRule type="cellIs" dxfId="11" priority="22" operator="equal">
      <formula>"Not Started"</formula>
    </cfRule>
    <cfRule type="cellIs" dxfId="10" priority="23" operator="equal">
      <formula>"Overdue"</formula>
    </cfRule>
    <cfRule type="cellIs" dxfId="9" priority="24" operator="equal">
      <formula>"In Progress"</formula>
    </cfRule>
    <cfRule type="cellIs" dxfId="8" priority="25" operator="equal">
      <formula>"Completed"</formula>
    </cfRule>
  </conditionalFormatting>
  <conditionalFormatting sqref="I11">
    <cfRule type="cellIs" dxfId="7" priority="26" operator="equal">
      <formula>"Not Started"</formula>
    </cfRule>
    <cfRule type="cellIs" dxfId="6" priority="27" operator="equal">
      <formula>"Overdue"</formula>
    </cfRule>
    <cfRule type="cellIs" dxfId="5" priority="28" operator="equal">
      <formula>"In Progress"</formula>
    </cfRule>
    <cfRule type="cellIs" dxfId="4" priority="29" operator="equal">
      <formula>"Completed"</formula>
    </cfRule>
  </conditionalFormatting>
  <conditionalFormatting sqref="I13">
    <cfRule type="cellIs" dxfId="3" priority="30" operator="equal">
      <formula>"Not Started"</formula>
    </cfRule>
    <cfRule type="cellIs" dxfId="2" priority="31" operator="equal">
      <formula>"Overdue"</formula>
    </cfRule>
    <cfRule type="cellIs" dxfId="1" priority="32" operator="equal">
      <formula>"In Progress"</formula>
    </cfRule>
    <cfRule type="cellIs" dxfId="0" priority="33" operator="equal">
      <formula>"Completed"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Nisanth Saravanan</cp:lastModifiedBy>
  <cp:revision>7</cp:revision>
  <dcterms:created xsi:type="dcterms:W3CDTF">2024-11-18T11:47:03Z</dcterms:created>
  <dcterms:modified xsi:type="dcterms:W3CDTF">2025-09-18T11:01:24Z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SIP_Label_defa4170-0d19-0005-0004-bc88714345d2_ActionId">
    <vt:lpwstr>67d25a0e-c473-46f3-8cdf-43fb149c3fdf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2025-06-05T09:29:30Z</vt:lpwstr>
  </property>
  <property fmtid="{D5CDD505-2E9C-101B-9397-08002B2CF9AE}" pid="9" name="MSIP_Label_defa4170-0d19-0005-0004-bc88714345d2_SiteId">
    <vt:lpwstr>fe66d7b1-c17e-4ba8-a08d-2e146117dc7e</vt:lpwstr>
  </property>
  <property fmtid="{D5CDD505-2E9C-101B-9397-08002B2CF9AE}" pid="10" name="MSIP_Label_defa4170-0d19-0005-0004-bc88714345d2_Tag">
    <vt:lpwstr>10, 3, 0, 2</vt:lpwstr>
  </property>
  <property fmtid="{D5CDD505-2E9C-101B-9397-08002B2CF9AE}" pid="11" name="MediaServiceImageTags">
    <vt:lpwstr/>
  </property>
</Properties>
</file>