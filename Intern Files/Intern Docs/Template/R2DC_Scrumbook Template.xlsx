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2702" documentId="8_{ADE8B0A2-AFD4-4B26-8666-26DABD42F3FB}" xr6:coauthVersionLast="47" xr6:coauthVersionMax="47" xr10:uidLastSave="{E65F1BEA-D40F-49B6-BE0C-E5D2C0A7279D}"/>
  <bookViews>
    <workbookView xWindow="240" yWindow="105" windowWidth="14805" windowHeight="8010" activeTab="3" xr2:uid="{00000000-000D-0000-FFFF-FFFF00000000}"/>
  </bookViews>
  <sheets>
    <sheet name="Dashboard" sheetId="6" r:id="rId1"/>
    <sheet name="Epic" sheetId="10" r:id="rId2"/>
    <sheet name="WBS|PBI" sheetId="1" r:id="rId3"/>
    <sheet name="Sprint-Backlog" sheetId="3" r:id="rId4"/>
    <sheet name="Sprint-Capacity" sheetId="2" r:id="rId5"/>
    <sheet name="Sprint-Review|Retro|Actions" sheetId="4" r:id="rId6"/>
    <sheet name="Datasheet" sheetId="5" r:id="rId7"/>
    <sheet name="Sprint 1" sheetId="7" r:id="rId8"/>
    <sheet name="Sprint 2" sheetId="8" r:id="rId9"/>
    <sheet name="Sprint 3" sheetId="9" r:id="rId10"/>
  </sheets>
  <definedNames>
    <definedName name="_xlnm._FilterDatabase" localSheetId="2" hidden="1">'WBS|PBI'!$A$1:$C$1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1" l="1"/>
  <c r="G20" i="2"/>
  <c r="F20" i="2"/>
  <c r="E20" i="2"/>
  <c r="D20" i="2"/>
  <c r="C20" i="2"/>
  <c r="C21" i="2" s="1"/>
  <c r="G12" i="2"/>
  <c r="F12" i="2"/>
  <c r="E12" i="2"/>
  <c r="D12" i="2"/>
  <c r="C12" i="2"/>
  <c r="C13" i="2" s="1"/>
  <c r="G5" i="2"/>
  <c r="F5" i="2"/>
  <c r="E5" i="2"/>
  <c r="D5" i="2"/>
  <c r="C5" i="2"/>
  <c r="C6" i="2" s="1"/>
  <c r="C1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tc={4CE789AB-11BA-4F99-932C-68AB2861119A}</author>
  </authors>
  <commentList>
    <comment ref="D2" authorId="0" shapeId="0" xr:uid="{4CE789AB-11BA-4F99-932C-68AB286111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@Gowtham Sridharan Please make the sheet handy by formatting all the sheets neatly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tc={BD1895E5-8BCC-4E53-AB4A-7811C95D5A82}</author>
  </authors>
  <commentList>
    <comment ref="C3" authorId="0" shapeId="0" xr:uid="{BD1895E5-8BCC-4E53-AB4A-7811C95D5A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@Aneesh Pankajakshan May I know, why RelevantZ hours are less than 8 hours through out the sprint? Please check with him
Reply:
    @Karthic Vethachalam Last week I spend almost a hour a day for the CAP training, since there is a deadline to complete it by December end. From this week onwards, I will plan the CAP training outside Relevantz hours. </t>
      </text>
    </comment>
  </commentList>
</comments>
</file>

<file path=xl/sharedStrings.xml><?xml version="1.0" encoding="utf-8"?>
<sst xmlns="http://schemas.openxmlformats.org/spreadsheetml/2006/main" count="203" uniqueCount="84">
  <si>
    <t>Process name_ R2DC Scrum Book</t>
  </si>
  <si>
    <t>WBS|PBI</t>
  </si>
  <si>
    <t>Sprint-Review|Retro</t>
  </si>
  <si>
    <t>Sprint Capacity</t>
  </si>
  <si>
    <t>Sprint 0</t>
  </si>
  <si>
    <t>Sprint 3</t>
  </si>
  <si>
    <t>Sprint 6</t>
  </si>
  <si>
    <t>Sprint Backlog</t>
  </si>
  <si>
    <t>Capacity Planning Sheet</t>
  </si>
  <si>
    <t>Epic sheet</t>
  </si>
  <si>
    <t>Sprint 1</t>
  </si>
  <si>
    <t>Sprint 4</t>
  </si>
  <si>
    <t>Query Tracking Sheet</t>
  </si>
  <si>
    <t>Action Item Sheet</t>
  </si>
  <si>
    <t>Code Quality</t>
  </si>
  <si>
    <t>Sprint 2</t>
  </si>
  <si>
    <t>Sprint 5</t>
  </si>
  <si>
    <t>S.No.</t>
  </si>
  <si>
    <t>PBI ( a.k.a Work-Item)</t>
  </si>
  <si>
    <t>Duration Hrs</t>
  </si>
  <si>
    <t>Status</t>
  </si>
  <si>
    <t>Remarks</t>
  </si>
  <si>
    <t>Total Efforts (in Hrs)</t>
  </si>
  <si>
    <t>Hours</t>
  </si>
  <si>
    <t>Total Efforts (in Days, if 3 hrs per day )</t>
  </si>
  <si>
    <t>Days</t>
  </si>
  <si>
    <t>Legend :</t>
  </si>
  <si>
    <t>Sprint Status</t>
  </si>
  <si>
    <t>Success :</t>
  </si>
  <si>
    <t>Failure :</t>
  </si>
  <si>
    <t>Sprint#1</t>
  </si>
  <si>
    <t>User Story#</t>
  </si>
  <si>
    <t>Work-Item / Task</t>
  </si>
  <si>
    <t>Assigned to</t>
  </si>
  <si>
    <t>Planned</t>
  </si>
  <si>
    <t>Actual</t>
  </si>
  <si>
    <t xml:space="preserve">Status </t>
  </si>
  <si>
    <t>Start Date</t>
  </si>
  <si>
    <t>End Date</t>
  </si>
  <si>
    <t>Actual Start Date</t>
  </si>
  <si>
    <t>Actual End Date</t>
  </si>
  <si>
    <t>Sprint Over All Status :</t>
  </si>
  <si>
    <t>Success</t>
  </si>
  <si>
    <t>Sprint#2</t>
  </si>
  <si>
    <t>Sprint#5</t>
  </si>
  <si>
    <t>Sprint#6</t>
  </si>
  <si>
    <t>Sprint#1 (04-Dec-24 to 10-Dec-24)</t>
  </si>
  <si>
    <t>Wednesday</t>
  </si>
  <si>
    <t>Thursday</t>
  </si>
  <si>
    <t>Friday</t>
  </si>
  <si>
    <t xml:space="preserve">Monday </t>
  </si>
  <si>
    <t>Tuesday</t>
  </si>
  <si>
    <t xml:space="preserve">Relevantz Hrs: </t>
  </si>
  <si>
    <t xml:space="preserve">Personal Hrs: </t>
  </si>
  <si>
    <t>Total Hrs (per day):</t>
  </si>
  <si>
    <t>Total Hrs (per Sprint):</t>
  </si>
  <si>
    <t>Sprint#2 (12-Dec-24 to 18-Dec-24)</t>
  </si>
  <si>
    <t>Monday</t>
  </si>
  <si>
    <t>Sprint#3</t>
  </si>
  <si>
    <t>Review Points</t>
  </si>
  <si>
    <t>Owner</t>
  </si>
  <si>
    <t>Retro Points</t>
  </si>
  <si>
    <t>Action Items from Review / Retro</t>
  </si>
  <si>
    <t>ETA</t>
  </si>
  <si>
    <t>What Went-Well ?</t>
  </si>
  <si>
    <t>?</t>
  </si>
  <si>
    <t>What Went-Wrong ?</t>
  </si>
  <si>
    <t>Late code integration</t>
  </si>
  <si>
    <t>Sprint#4</t>
  </si>
  <si>
    <t>Responsible Person</t>
  </si>
  <si>
    <t>In Progress</t>
  </si>
  <si>
    <t>Not Started</t>
  </si>
  <si>
    <t>Completed</t>
  </si>
  <si>
    <t>Carried</t>
  </si>
  <si>
    <t xml:space="preserve">Product </t>
  </si>
  <si>
    <t>#</t>
  </si>
  <si>
    <t>Name</t>
  </si>
  <si>
    <t xml:space="preserve">Team Name </t>
  </si>
  <si>
    <t xml:space="preserve">Role </t>
  </si>
  <si>
    <t>Sprint  #</t>
  </si>
  <si>
    <t>Sprint Duration</t>
  </si>
  <si>
    <t>Task</t>
  </si>
  <si>
    <t>Estimated Hours</t>
  </si>
  <si>
    <t>Impediments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</si>
</sst>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rial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4"/>
      <color rgb="FF000000"/>
      <name val="Times New Roman"/>
    </font>
    <font>
      <sz val="12"/>
      <color rgb="FF000000"/>
      <name val="Aptos"/>
      <charset val="1"/>
    </font>
    <font>
      <b/>
      <sz val="14"/>
      <color rgb="FF000000"/>
      <name val="Times New Roman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theme="0"/>
      <name val="Calibri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2"/>
      <name val="Aptos"/>
      <charset val="1"/>
    </font>
    <font>
      <b/>
      <sz val="16"/>
      <color rgb="FF0F4761"/>
      <name val="Aptos Display"/>
      <charset val="1"/>
    </font>
    <font>
      <sz val="14"/>
      <color rgb="FF0F4761"/>
      <name val="Aptos"/>
      <charset val="1"/>
    </font>
    <font>
      <b/>
      <sz val="14"/>
      <color rgb="FF0F4761"/>
      <name val="Aptos"/>
      <charset val="1"/>
    </font>
    <font>
      <b/>
      <sz val="12"/>
      <name val="Aptos"/>
      <charset val="1"/>
    </font>
    <font>
      <b/>
      <i/>
      <sz val="12"/>
      <color rgb="FF0F4761"/>
      <name val="Aptos"/>
      <charset val="1"/>
    </font>
    <font>
      <i/>
      <sz val="12"/>
      <name val="Aptos"/>
      <charset val="1"/>
    </font>
  </fonts>
  <fills count="22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rgb="FFFFEB9C"/>
      </patternFill>
    </fill>
    <fill>
      <patternFill patternType="solid">
        <fgColor rgb="FF9DC3E6"/>
        <bgColor rgb="FFCCCCFF"/>
      </patternFill>
    </fill>
    <fill>
      <patternFill patternType="solid">
        <fgColor rgb="FFA9D18E"/>
        <bgColor rgb="FF9DC3E6"/>
      </patternFill>
    </fill>
    <fill>
      <patternFill patternType="solid">
        <fgColor rgb="FFFF0000"/>
        <bgColor rgb="FF9C0006"/>
      </patternFill>
    </fill>
    <fill>
      <patternFill patternType="solid">
        <fgColor theme="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20" fillId="21" borderId="0" applyNumberFormat="0" applyBorder="0" applyAlignment="0" applyProtection="0"/>
  </cellStyleXfs>
  <cellXfs count="143">
    <xf numFmtId="0" fontId="0" fillId="0" borderId="0" xfId="0"/>
    <xf numFmtId="0" fontId="0" fillId="0" borderId="1" xfId="0" applyBorder="1"/>
    <xf numFmtId="0" fontId="3" fillId="5" borderId="1" xfId="0" applyFont="1" applyFill="1" applyBorder="1" applyAlignment="1">
      <alignment horizontal="center"/>
    </xf>
    <xf numFmtId="0" fontId="3" fillId="5" borderId="0" xfId="0" applyFont="1" applyFill="1"/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9" borderId="0" xfId="0" applyFill="1"/>
    <xf numFmtId="0" fontId="3" fillId="10" borderId="1" xfId="0" applyFont="1" applyFill="1" applyBorder="1"/>
    <xf numFmtId="0" fontId="10" fillId="11" borderId="1" xfId="0" applyFont="1" applyFill="1" applyBorder="1"/>
    <xf numFmtId="0" fontId="0" fillId="13" borderId="0" xfId="0" applyFill="1"/>
    <xf numFmtId="0" fontId="9" fillId="1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0" fillId="0" borderId="2" xfId="0" applyBorder="1"/>
    <xf numFmtId="0" fontId="3" fillId="13" borderId="3" xfId="0" applyFont="1" applyFill="1" applyBorder="1"/>
    <xf numFmtId="0" fontId="9" fillId="0" borderId="0" xfId="0" applyFont="1" applyAlignment="1">
      <alignment horizontal="right"/>
    </xf>
    <xf numFmtId="0" fontId="9" fillId="3" borderId="4" xfId="0" applyFont="1" applyFill="1" applyBorder="1"/>
    <xf numFmtId="0" fontId="8" fillId="14" borderId="0" xfId="0" applyFont="1" applyFill="1"/>
    <xf numFmtId="15" fontId="0" fillId="0" borderId="1" xfId="0" applyNumberFormat="1" applyBorder="1"/>
    <xf numFmtId="0" fontId="5" fillId="1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2" fillId="0" borderId="0" xfId="0" applyFont="1"/>
    <xf numFmtId="0" fontId="8" fillId="0" borderId="1" xfId="0" applyFont="1" applyBorder="1" applyAlignment="1">
      <alignment horizontal="center"/>
    </xf>
    <xf numFmtId="0" fontId="5" fillId="1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3" fillId="0" borderId="1" xfId="0" applyFont="1" applyBorder="1"/>
    <xf numFmtId="0" fontId="15" fillId="0" borderId="1" xfId="0" applyFont="1" applyBorder="1" applyAlignment="1">
      <alignment horizontal="center" vertical="center" wrapText="1" indent="1"/>
    </xf>
    <xf numFmtId="164" fontId="13" fillId="0" borderId="1" xfId="0" applyNumberFormat="1" applyFont="1" applyBorder="1" applyAlignment="1">
      <alignment vertical="center" wrapText="1" indent="1"/>
    </xf>
    <xf numFmtId="0" fontId="5" fillId="1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vertical="center" indent="1"/>
    </xf>
    <xf numFmtId="15" fontId="0" fillId="0" borderId="1" xfId="0" applyNumberFormat="1" applyBorder="1" applyAlignment="1">
      <alignment wrapText="1"/>
    </xf>
    <xf numFmtId="0" fontId="1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7" xfId="0" applyBorder="1"/>
    <xf numFmtId="0" fontId="9" fillId="8" borderId="2" xfId="0" applyFont="1" applyFill="1" applyBorder="1" applyAlignment="1">
      <alignment horizontal="center"/>
    </xf>
    <xf numFmtId="0" fontId="0" fillId="0" borderId="6" xfId="0" applyBorder="1"/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wrapText="1"/>
    </xf>
    <xf numFmtId="0" fontId="3" fillId="12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wrapText="1"/>
    </xf>
    <xf numFmtId="0" fontId="0" fillId="16" borderId="1" xfId="0" applyFill="1" applyBorder="1" applyAlignment="1">
      <alignment wrapText="1"/>
    </xf>
    <xf numFmtId="0" fontId="11" fillId="0" borderId="1" xfId="0" applyFont="1" applyBorder="1" applyAlignment="1">
      <alignment horizontal="right"/>
    </xf>
    <xf numFmtId="0" fontId="11" fillId="12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/>
    </xf>
    <xf numFmtId="0" fontId="4" fillId="4" borderId="1" xfId="0" applyFont="1" applyFill="1" applyBorder="1"/>
    <xf numFmtId="0" fontId="4" fillId="3" borderId="1" xfId="0" applyFont="1" applyFill="1" applyBorder="1"/>
    <xf numFmtId="0" fontId="15" fillId="0" borderId="1" xfId="0" applyFont="1" applyBorder="1" applyAlignment="1">
      <alignment horizontal="left" wrapText="1" indent="1"/>
    </xf>
    <xf numFmtId="0" fontId="0" fillId="0" borderId="1" xfId="0" applyBorder="1" applyAlignment="1">
      <alignment horizontal="center" wrapText="1"/>
    </xf>
    <xf numFmtId="164" fontId="13" fillId="0" borderId="8" xfId="0" applyNumberFormat="1" applyFont="1" applyBorder="1" applyAlignment="1">
      <alignment vertical="center" wrapText="1" indent="1"/>
    </xf>
    <xf numFmtId="164" fontId="13" fillId="0" borderId="2" xfId="0" applyNumberFormat="1" applyFont="1" applyBorder="1" applyAlignment="1">
      <alignment vertical="center" wrapText="1" indent="1"/>
    </xf>
    <xf numFmtId="0" fontId="13" fillId="0" borderId="2" xfId="0" applyFont="1" applyBorder="1" applyAlignment="1">
      <alignment horizontal="center" vertical="center" indent="1"/>
    </xf>
    <xf numFmtId="164" fontId="15" fillId="0" borderId="1" xfId="0" applyNumberFormat="1" applyFont="1" applyBorder="1" applyAlignment="1">
      <alignment horizontal="center" vertical="center" wrapText="1" inden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1"/>
    <xf numFmtId="0" fontId="15" fillId="0" borderId="1" xfId="0" applyFont="1" applyBorder="1" applyAlignment="1">
      <alignment horizontal="center" wrapText="1" indent="1"/>
    </xf>
    <xf numFmtId="0" fontId="0" fillId="0" borderId="9" xfId="0" applyBorder="1"/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9" fillId="6" borderId="7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8" xfId="0" applyBorder="1"/>
    <xf numFmtId="0" fontId="19" fillId="0" borderId="1" xfId="0" applyFont="1" applyBorder="1"/>
    <xf numFmtId="0" fontId="9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wrapText="1"/>
    </xf>
    <xf numFmtId="15" fontId="0" fillId="0" borderId="2" xfId="0" applyNumberFormat="1" applyBorder="1"/>
    <xf numFmtId="0" fontId="15" fillId="0" borderId="1" xfId="0" applyFont="1" applyBorder="1" applyAlignment="1">
      <alignment horizontal="right" wrapText="1"/>
    </xf>
    <xf numFmtId="0" fontId="20" fillId="21" borderId="0" xfId="2"/>
    <xf numFmtId="0" fontId="20" fillId="21" borderId="10" xfId="2" applyBorder="1" applyAlignment="1">
      <alignment horizontal="center"/>
    </xf>
    <xf numFmtId="0" fontId="20" fillId="21" borderId="11" xfId="2" applyBorder="1"/>
    <xf numFmtId="0" fontId="20" fillId="21" borderId="12" xfId="2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12" borderId="5" xfId="0" applyFill="1" applyBorder="1"/>
    <xf numFmtId="0" fontId="0" fillId="0" borderId="13" xfId="0" applyBorder="1"/>
    <xf numFmtId="0" fontId="22" fillId="0" borderId="0" xfId="0" applyFont="1"/>
    <xf numFmtId="0" fontId="0" fillId="0" borderId="16" xfId="0" applyBorder="1"/>
    <xf numFmtId="0" fontId="0" fillId="12" borderId="5" xfId="0" applyFill="1" applyBorder="1" applyAlignment="1">
      <alignment wrapText="1"/>
    </xf>
    <xf numFmtId="0" fontId="22" fillId="0" borderId="5" xfId="0" applyFont="1" applyBorder="1"/>
    <xf numFmtId="0" fontId="0" fillId="0" borderId="17" xfId="0" applyBorder="1"/>
    <xf numFmtId="0" fontId="0" fillId="0" borderId="0" xfId="0" applyAlignment="1">
      <alignment wrapText="1"/>
    </xf>
    <xf numFmtId="0" fontId="20" fillId="21" borderId="1" xfId="2" applyBorder="1" applyAlignment="1">
      <alignment horizontal="center" vertical="center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4" fillId="0" borderId="0" xfId="0" applyFont="1" applyAlignment="1">
      <alignment wrapText="1" readingOrder="1"/>
    </xf>
    <xf numFmtId="0" fontId="25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5" fillId="13" borderId="6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2" borderId="0" xfId="0" applyFill="1" applyBorder="1" applyAlignment="1">
      <alignment wrapText="1"/>
    </xf>
    <xf numFmtId="0" fontId="0" fillId="0" borderId="5" xfId="0" applyBorder="1" applyAlignment="1">
      <alignment wrapText="1"/>
    </xf>
    <xf numFmtId="0" fontId="5" fillId="15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5" fillId="13" borderId="4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2" fillId="12" borderId="7" xfId="0" applyFont="1" applyFill="1" applyBorder="1" applyAlignment="1">
      <alignment horizontal="right" wrapText="1"/>
    </xf>
    <xf numFmtId="0" fontId="3" fillId="12" borderId="7" xfId="0" applyFont="1" applyFill="1" applyBorder="1" applyAlignment="1">
      <alignment horizontal="right" wrapText="1"/>
    </xf>
    <xf numFmtId="0" fontId="0" fillId="12" borderId="4" xfId="0" applyFill="1" applyBorder="1" applyAlignment="1">
      <alignment wrapText="1"/>
    </xf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wrapText="1"/>
    </xf>
  </cellXfs>
  <cellStyles count="3">
    <cellStyle name="Accent1" xfId="2" builtinId="29"/>
    <cellStyle name="Hyperlink" xfId="1" builtinId="8"/>
    <cellStyle name="Normal" xfId="0" builtinId="0"/>
  </cellStyles>
  <dxfs count="38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77111117893"/>
      </font>
      <fill>
        <patternFill patternType="solid">
          <bgColor rgb="FF8FBBD6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8FB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AB93729A-1171-410D-81C0-B742AB533BED}">
    <Anchor>
      <Comment id="{4CE789AB-11BA-4F99-932C-68AB2861119A}"/>
    </Anchor>
    <History>
      <Event time="2025-07-22T02:57:18.66" id="{CBEBF78C-F915-4AEF-80BB-EDF7522AD842}">
        <Attribution userId="S::karthic.vethachalam@relevantz.com::fb6d7fe0-4209-488e-b8f1-629cdd90307d" userName="Karthic Vethachalam" userProvider="AD"/>
        <Anchor>
          <Comment id="{4CE789AB-11BA-4F99-932C-68AB2861119A}"/>
        </Anchor>
        <Create/>
      </Event>
      <Event time="2025-07-22T02:57:18.66" id="{6ECF903F-E3F1-4076-AE81-5486B33D8030}">
        <Attribution userId="S::karthic.vethachalam@relevantz.com::fb6d7fe0-4209-488e-b8f1-629cdd90307d" userName="Karthic Vethachalam" userProvider="AD"/>
        <Anchor>
          <Comment id="{4CE789AB-11BA-4F99-932C-68AB2861119A}"/>
        </Anchor>
        <Assign userId="S::gowtham.sridharan@relevantz.com::f24ce911-d3e6-4728-9419-610b5cbd7b13" userName="Gowtham Sridharan" userProvider="AD"/>
      </Event>
      <Event time="2025-07-22T02:57:18.66" id="{A43050B4-5193-48CE-9485-00924F9222F5}">
        <Attribution userId="S::karthic.vethachalam@relevantz.com::fb6d7fe0-4209-488e-b8f1-629cdd90307d" userName="Karthic Vethachalam" userProvider="AD"/>
        <Anchor>
          <Comment id="{4CE789AB-11BA-4F99-932C-68AB2861119A}"/>
        </Anchor>
        <SetTitle title="@Gowtham Sridharan Please make the sheet handy by formatting all the sheets neatly"/>
      </Event>
    </History>
  </Task>
</Tasks>
</file>

<file path=xl/documenttasks/documenttask2.xml><?xml version="1.0" encoding="utf-8"?>
<Tasks xmlns="http://schemas.microsoft.com/office/tasks/2019/documenttasks">
  <Task id="{510AAD41-AE98-4B28-A58E-C6C728F613C6}">
    <Anchor>
      <Comment id="{BD1895E5-8BCC-4E53-AB4A-7811C95D5A82}"/>
    </Anchor>
    <History>
      <Event time="2024-12-14T05:10:46.61" id="{E144EDF5-094C-4AEB-A781-A9FCFF193A0C}">
        <Attribution userId="S::karthic.vethachalam@relevantz.com::fb6d7fe0-4209-488e-b8f1-629cdd90307d" userName="Karthic Vethachalam" userProvider="AD"/>
        <Anchor>
          <Comment id="{BD1895E5-8BCC-4E53-AB4A-7811C95D5A82}"/>
        </Anchor>
        <Create/>
      </Event>
      <Event time="2024-12-14T05:10:46.61" id="{17C130CF-4EF6-4054-BD5F-F0B1A7BE7772}">
        <Attribution userId="S::karthic.vethachalam@relevantz.com::fb6d7fe0-4209-488e-b8f1-629cdd90307d" userName="Karthic Vethachalam" userProvider="AD"/>
        <Anchor>
          <Comment id="{BD1895E5-8BCC-4E53-AB4A-7811C95D5A82}"/>
        </Anchor>
        <Assign userId="S::aneesh.pankajakshan@relevantz.com::6ac6f190-57a0-4e93-bae0-de411c8db7d2" userName="Aneesh Pankajakshan" userProvider="AD"/>
      </Event>
      <Event time="2024-12-14T05:10:46.61" id="{C830CF6B-2D59-43D7-9E49-705A042A8A8B}">
        <Attribution userId="S::karthic.vethachalam@relevantz.com::fb6d7fe0-4209-488e-b8f1-629cdd90307d" userName="Karthic Vethachalam" userProvider="AD"/>
        <Anchor>
          <Comment id="{BD1895E5-8BCC-4E53-AB4A-7811C95D5A82}"/>
        </Anchor>
        <SetTitle title="@Aneesh Pankajakshan May I know, why RelevantZ hours are less than 8 hours through out the sprint? Please check with him"/>
      </Event>
      <Event time="2024-12-16T07:26:23.34" id="{22E2F597-35ED-4AC0-8D9D-73B85E8CF485}">
        <Attribution userId="S::sriprem.ramadoss@relevantz.com::fd2995c1-a69d-4f29-87a4-d27745ed5133" userName="Sriprem Ramadoss" userProvider="AD"/>
        <Anchor>
          <Comment id="{2FF59224-A370-4969-B6D4-CAEF19279316}"/>
        </Anchor>
        <UnassignAll/>
      </Event>
      <Event time="2024-12-16T07:26:23.34" id="{A2FBEB88-581D-481A-9FBE-6F867CEE20E6}">
        <Attribution userId="S::sriprem.ramadoss@relevantz.com::fd2995c1-a69d-4f29-87a4-d27745ed5133" userName="Sriprem Ramadoss" userProvider="AD"/>
        <Anchor>
          <Comment id="{2FF59224-A370-4969-B6D4-CAEF19279316}"/>
        </Anchor>
        <Assign userId="S::karthic.vethachalam@relevantz.com::fb6d7fe0-4209-488e-b8f1-629cdd90307d" userName="Karthic Vethachalam" userProvider="AD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Gowtham Sridharan" id="{4D268388-D58D-4502-ADF1-76A61C04D3D4}" userId="gowtham.sridharan@relevantz.com" providerId="PeoplePicker"/>
  <person displayName="Aneesh Pankajakshan" id="{D43B73DE-ECBE-4381-815B-D50BE62FF41B}" userId="aneesh.pankajakshan@relevantz.com" providerId="PeoplePicker"/>
  <person displayName="Karthic Vethachalam" id="{428E32C7-E573-46AF-9D32-9A878B99A525}" userId="karthic.vethachalam@relevantz.com" providerId="PeoplePicker"/>
  <person displayName="Sriprem Ramadoss" id="{23E4ACB9-F6C9-4F6F-A395-C82D50446436}" userId="S::sriprem.ramadoss@relevantz.com::fd2995c1-a69d-4f29-87a4-d27745ed5133" providerId="AD"/>
  <person displayName="Karthic Vethachalam" id="{0D9DB2E1-1809-4BA3-9503-1ECB75EB54E1}" userId="S::karthic.vethachalam@relevantz.com::fb6d7fe0-4209-488e-b8f1-629cdd90307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07-22T02:57:19.01" personId="{0D9DB2E1-1809-4BA3-9503-1ECB75EB54E1}" id="{4CE789AB-11BA-4F99-932C-68AB2861119A}">
    <text xml:space="preserve">@Gowtham Sridharan Please make the sheet handy by formatting all the sheets neatly </text>
    <mentions>
      <mention mentionpersonId="{4D268388-D58D-4502-ADF1-76A61C04D3D4}" mentionId="{EC78BCFA-2303-44D2-9D21-38DE8EAA8ECE}" startIndex="0" length="18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4-12-14T05:10:46.21" personId="{0D9DB2E1-1809-4BA3-9503-1ECB75EB54E1}" id="{BD1895E5-8BCC-4E53-AB4A-7811C95D5A82}">
    <text>@Aneesh Pankajakshan May I know, why RelevantZ hours are less than 8 hours through out the sprint? Please check with him</text>
    <mentions>
      <mention mentionpersonId="{D43B73DE-ECBE-4381-815B-D50BE62FF41B}" mentionId="{127F3E66-E728-402D-BCCC-FC5C437EB039}" startIndex="0" length="20"/>
    </mentions>
  </threadedComment>
  <threadedComment ref="C3" dT="2024-12-16T07:26:19.86" personId="{23E4ACB9-F6C9-4F6F-A395-C82D50446436}" id="{2FF59224-A370-4969-B6D4-CAEF19279316}" parentId="{BD1895E5-8BCC-4E53-AB4A-7811C95D5A82}">
    <text xml:space="preserve">@Karthic Vethachalam Last week I spend almost a hour a day for the CAP training, since there is a deadline to complete it by December end. From this week onwards, I will plan the CAP training outside Relevantz hours. </text>
    <mentions>
      <mention mentionpersonId="{428E32C7-E573-46AF-9D32-9A878B99A525}" mentionId="{5EB6F96D-6554-4AA3-B5CC-4578374E4523}" startIndex="0" length="20"/>
    </mentions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0C83-DE53-4CB2-918D-268F5EA1E63A}">
  <dimension ref="D3:N15"/>
  <sheetViews>
    <sheetView showGridLines="0" topLeftCell="A9" workbookViewId="0">
      <selection activeCell="H15" sqref="H15"/>
    </sheetView>
  </sheetViews>
  <sheetFormatPr defaultRowHeight="15"/>
  <cols>
    <col min="4" max="4" width="20.42578125" customWidth="1"/>
    <col min="6" max="6" width="21.42578125" customWidth="1"/>
    <col min="8" max="8" width="22.42578125" customWidth="1"/>
    <col min="10" max="10" width="15.7109375" customWidth="1"/>
    <col min="11" max="11" width="6.42578125" customWidth="1"/>
    <col min="12" max="12" width="16.140625" customWidth="1"/>
    <col min="14" max="14" width="14" customWidth="1"/>
  </cols>
  <sheetData>
    <row r="3" spans="4:14" ht="26.25">
      <c r="E3" s="65"/>
      <c r="F3" s="66" t="s">
        <v>0</v>
      </c>
      <c r="G3" s="65"/>
      <c r="H3" s="65"/>
      <c r="I3" s="65"/>
    </row>
    <row r="4" spans="4:14">
      <c r="K4" s="67"/>
    </row>
    <row r="9" spans="4:14" ht="31.5" customHeight="1">
      <c r="D9" s="95" t="s">
        <v>1</v>
      </c>
      <c r="F9" s="95" t="s">
        <v>2</v>
      </c>
      <c r="H9" s="95" t="s">
        <v>3</v>
      </c>
      <c r="J9" s="95" t="s">
        <v>4</v>
      </c>
      <c r="L9" s="95" t="s">
        <v>5</v>
      </c>
      <c r="N9" s="95" t="s">
        <v>6</v>
      </c>
    </row>
    <row r="12" spans="4:14" ht="31.5" customHeight="1">
      <c r="D12" s="95" t="s">
        <v>7</v>
      </c>
      <c r="F12" s="95" t="s">
        <v>8</v>
      </c>
      <c r="H12" s="95" t="s">
        <v>9</v>
      </c>
      <c r="J12" s="95" t="s">
        <v>10</v>
      </c>
      <c r="L12" s="95" t="s">
        <v>11</v>
      </c>
    </row>
    <row r="15" spans="4:14" ht="33.75" customHeight="1">
      <c r="D15" s="95" t="s">
        <v>12</v>
      </c>
      <c r="F15" s="95" t="s">
        <v>13</v>
      </c>
      <c r="H15" s="95" t="s">
        <v>14</v>
      </c>
      <c r="J15" s="95" t="s">
        <v>15</v>
      </c>
      <c r="L15" s="9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1E61-6386-4161-A9F8-DB708F26626D}">
  <dimension ref="A1:B534"/>
  <sheetViews>
    <sheetView showGridLines="0" workbookViewId="0">
      <selection activeCell="C5" sqref="C5"/>
    </sheetView>
  </sheetViews>
  <sheetFormatPr defaultRowHeight="15"/>
  <cols>
    <col min="1" max="1" width="59.140625" customWidth="1"/>
  </cols>
  <sheetData>
    <row r="1" spans="1:2" ht="21">
      <c r="A1" s="97"/>
    </row>
    <row r="2" spans="1:2" ht="15.75">
      <c r="A2" s="96"/>
    </row>
    <row r="3" spans="1:2" ht="18.75">
      <c r="A3" s="98"/>
    </row>
    <row r="4" spans="1:2" ht="15.75">
      <c r="A4" s="99"/>
    </row>
    <row r="5" spans="1:2" ht="18.75">
      <c r="A5" s="98"/>
    </row>
    <row r="6" spans="1:2" ht="15.75">
      <c r="A6" s="100"/>
      <c r="B6" s="96"/>
    </row>
    <row r="7" spans="1:2" ht="15.75">
      <c r="A7" s="100"/>
      <c r="B7" s="96"/>
    </row>
    <row r="8" spans="1:2" ht="15.75">
      <c r="A8" s="100"/>
      <c r="B8" s="96"/>
    </row>
    <row r="9" spans="1:2" ht="15.75">
      <c r="A9" s="100"/>
      <c r="B9" s="96"/>
    </row>
    <row r="10" spans="1:2" ht="15.75">
      <c r="A10" s="100"/>
      <c r="B10" s="96"/>
    </row>
    <row r="11" spans="1:2" ht="21">
      <c r="A11" s="97"/>
    </row>
    <row r="12" spans="1:2" ht="15.75">
      <c r="A12" s="96"/>
    </row>
    <row r="13" spans="1:2" ht="18.75">
      <c r="A13" s="98"/>
    </row>
    <row r="14" spans="1:2" ht="15.75">
      <c r="A14" s="99"/>
    </row>
    <row r="15" spans="1:2" ht="15.75">
      <c r="A15" s="96"/>
    </row>
    <row r="16" spans="1:2" ht="18.75">
      <c r="A16" s="98"/>
    </row>
    <row r="17" spans="1:2" ht="15.75">
      <c r="A17" s="100"/>
      <c r="B17" s="96"/>
    </row>
    <row r="18" spans="1:2" ht="15.75">
      <c r="A18" s="100"/>
      <c r="B18" s="96"/>
    </row>
    <row r="19" spans="1:2" ht="15.75">
      <c r="A19" s="100"/>
      <c r="B19" s="96"/>
    </row>
    <row r="20" spans="1:2" ht="15.75">
      <c r="A20" s="100"/>
      <c r="B20" s="96"/>
    </row>
    <row r="21" spans="1:2" ht="15.75">
      <c r="A21" s="100"/>
      <c r="B21" s="96"/>
    </row>
    <row r="22" spans="1:2" ht="15.75">
      <c r="A22" s="96"/>
    </row>
    <row r="23" spans="1:2" ht="18.75">
      <c r="A23" s="98"/>
    </row>
    <row r="24" spans="1:2" ht="15.75">
      <c r="A24" s="96"/>
    </row>
    <row r="25" spans="1:2" ht="18.75">
      <c r="A25" s="98"/>
    </row>
    <row r="26" spans="1:2" ht="15.75">
      <c r="A26" s="99"/>
    </row>
    <row r="27" spans="1:2" ht="15.75">
      <c r="A27" s="96"/>
    </row>
    <row r="28" spans="1:2" ht="18.75">
      <c r="A28" s="98"/>
    </row>
    <row r="29" spans="1:2" ht="15.75">
      <c r="A29" s="100"/>
      <c r="B29" s="96"/>
    </row>
    <row r="30" spans="1:2" ht="15.75">
      <c r="A30" s="100"/>
      <c r="B30" s="96"/>
    </row>
    <row r="31" spans="1:2" ht="15.75">
      <c r="A31" s="100"/>
      <c r="B31" s="96"/>
    </row>
    <row r="32" spans="1:2" ht="15.75">
      <c r="A32" s="100"/>
      <c r="B32" s="96"/>
    </row>
    <row r="33" spans="1:2" ht="15.75">
      <c r="A33" s="100"/>
      <c r="B33" s="96"/>
    </row>
    <row r="34" spans="1:2" ht="15.75">
      <c r="A34" s="96"/>
    </row>
    <row r="35" spans="1:2" ht="18.75">
      <c r="A35" s="98"/>
    </row>
    <row r="36" spans="1:2" ht="18.75">
      <c r="A36" s="98"/>
    </row>
    <row r="37" spans="1:2" ht="15.75">
      <c r="A37" s="99"/>
    </row>
    <row r="38" spans="1:2" ht="18.75">
      <c r="A38" s="98"/>
    </row>
    <row r="39" spans="1:2" ht="15.75">
      <c r="A39" s="100"/>
      <c r="B39" s="96"/>
    </row>
    <row r="40" spans="1:2" ht="15.75">
      <c r="A40" s="100"/>
      <c r="B40" s="96"/>
    </row>
    <row r="41" spans="1:2" ht="15.75">
      <c r="A41" s="100"/>
      <c r="B41" s="96"/>
    </row>
    <row r="42" spans="1:2" ht="15.75">
      <c r="A42" s="100"/>
      <c r="B42" s="96"/>
    </row>
    <row r="43" spans="1:2" ht="15.75">
      <c r="A43" s="100"/>
      <c r="B43" s="96"/>
    </row>
    <row r="44" spans="1:2" ht="15.75">
      <c r="A44" s="96"/>
    </row>
    <row r="45" spans="1:2" ht="15.75">
      <c r="A45" s="96"/>
    </row>
    <row r="46" spans="1:2" ht="15.75">
      <c r="A46" s="96"/>
    </row>
    <row r="47" spans="1:2" ht="18.75">
      <c r="A47" s="98"/>
    </row>
    <row r="48" spans="1:2" ht="15.75">
      <c r="A48" s="96"/>
    </row>
    <row r="49" spans="1:2" ht="18.75">
      <c r="A49" s="98"/>
    </row>
    <row r="50" spans="1:2" ht="15.75">
      <c r="A50" s="99"/>
    </row>
    <row r="51" spans="1:2" ht="18.75">
      <c r="A51" s="98"/>
    </row>
    <row r="52" spans="1:2" ht="15.75">
      <c r="A52" s="100"/>
      <c r="B52" s="96"/>
    </row>
    <row r="53" spans="1:2" ht="15.75">
      <c r="A53" s="100"/>
      <c r="B53" s="96"/>
    </row>
    <row r="54" spans="1:2" ht="15.75">
      <c r="A54" s="100"/>
      <c r="B54" s="96"/>
    </row>
    <row r="55" spans="1:2" ht="15.75">
      <c r="A55" s="100"/>
      <c r="B55" s="96"/>
    </row>
    <row r="56" spans="1:2" ht="15.75">
      <c r="A56" s="100"/>
      <c r="B56" s="96"/>
    </row>
    <row r="57" spans="1:2" ht="15.75">
      <c r="A57" s="100"/>
      <c r="B57" s="96"/>
    </row>
    <row r="58" spans="1:2" ht="15.75">
      <c r="A58" s="100"/>
      <c r="B58" s="96"/>
    </row>
    <row r="59" spans="1:2" ht="18.75">
      <c r="A59" s="101"/>
    </row>
    <row r="60" spans="1:2" ht="18.75">
      <c r="A60" s="98"/>
    </row>
    <row r="61" spans="1:2" ht="15.75">
      <c r="A61" s="96"/>
    </row>
    <row r="62" spans="1:2" ht="18.75">
      <c r="A62" s="98"/>
    </row>
    <row r="63" spans="1:2" ht="15.75">
      <c r="A63" s="99"/>
    </row>
    <row r="64" spans="1:2" ht="18.75">
      <c r="A64" s="98"/>
    </row>
    <row r="65" spans="1:2" ht="15.75">
      <c r="A65" s="100"/>
      <c r="B65" s="99"/>
    </row>
    <row r="66" spans="1:2" ht="15.75">
      <c r="A66" s="100"/>
      <c r="B66" s="96"/>
    </row>
    <row r="67" spans="1:2" ht="15.75">
      <c r="A67" s="100"/>
      <c r="B67" s="96"/>
    </row>
    <row r="68" spans="1:2" ht="15.75">
      <c r="A68" s="100"/>
      <c r="B68" s="96"/>
    </row>
    <row r="69" spans="1:2" ht="15.75">
      <c r="A69" s="100"/>
      <c r="B69" s="96"/>
    </row>
    <row r="70" spans="1:2" ht="15.75">
      <c r="A70" s="100"/>
      <c r="B70" s="96"/>
    </row>
    <row r="71" spans="1:2" ht="15.75">
      <c r="A71" s="100"/>
      <c r="B71" s="99"/>
    </row>
    <row r="72" spans="1:2" ht="15.75">
      <c r="A72" s="100"/>
      <c r="B72" s="96"/>
    </row>
    <row r="73" spans="1:2" ht="15.75">
      <c r="A73" s="100"/>
      <c r="B73" s="96"/>
    </row>
    <row r="74" spans="1:2" ht="15.75">
      <c r="A74" s="100"/>
      <c r="B74" s="99"/>
    </row>
    <row r="75" spans="1:2" ht="15.75">
      <c r="A75" s="100"/>
      <c r="B75" s="96"/>
    </row>
    <row r="76" spans="1:2" ht="15.75">
      <c r="A76" s="100"/>
      <c r="B76" s="96"/>
    </row>
    <row r="77" spans="1:2" ht="15.75">
      <c r="A77" s="100"/>
      <c r="B77" s="96"/>
    </row>
    <row r="78" spans="1:2" ht="15.75">
      <c r="A78" s="96"/>
    </row>
    <row r="79" spans="1:2" ht="18.75">
      <c r="A79" s="98"/>
    </row>
    <row r="80" spans="1:2" ht="15.75">
      <c r="A80" s="99"/>
    </row>
    <row r="81" spans="1:1" ht="15.75">
      <c r="A81" s="96"/>
    </row>
    <row r="82" spans="1:1" ht="18.75">
      <c r="A82" s="98"/>
    </row>
    <row r="83" spans="1:1" ht="15.75">
      <c r="A83" s="102"/>
    </row>
    <row r="84" spans="1:1" ht="15.75">
      <c r="A84" s="96"/>
    </row>
    <row r="85" spans="1:1" ht="15.75">
      <c r="A85" s="96"/>
    </row>
    <row r="86" spans="1:1" ht="15.75">
      <c r="A86" s="96"/>
    </row>
    <row r="87" spans="1:1" ht="15.75">
      <c r="A87" s="102"/>
    </row>
    <row r="88" spans="1:1" ht="15.75">
      <c r="A88" s="96"/>
    </row>
    <row r="89" spans="1:1" ht="15.75">
      <c r="A89" s="96"/>
    </row>
    <row r="90" spans="1:1" ht="15.75">
      <c r="A90" s="96"/>
    </row>
    <row r="91" spans="1:1" ht="15.75">
      <c r="A91" s="96"/>
    </row>
    <row r="92" spans="1:1" ht="15.75">
      <c r="A92" s="96"/>
    </row>
    <row r="93" spans="1:1" ht="15.75">
      <c r="A93" s="102"/>
    </row>
    <row r="94" spans="1:1" ht="15.75">
      <c r="A94" s="96"/>
    </row>
    <row r="95" spans="1:1" ht="15.75">
      <c r="A95" s="96"/>
    </row>
    <row r="96" spans="1:1" ht="15.75">
      <c r="A96" s="96"/>
    </row>
    <row r="97" spans="1:2" ht="15.75">
      <c r="A97" s="96"/>
    </row>
    <row r="98" spans="1:2" ht="15.75">
      <c r="A98" s="96"/>
    </row>
    <row r="99" spans="1:2" ht="18.75">
      <c r="A99" s="98"/>
    </row>
    <row r="100" spans="1:2" ht="18.75">
      <c r="A100" s="98"/>
    </row>
    <row r="101" spans="1:2" ht="15.75">
      <c r="A101" s="99"/>
    </row>
    <row r="102" spans="1:2" ht="18.75">
      <c r="A102" s="98"/>
    </row>
    <row r="103" spans="1:2" ht="15.75">
      <c r="A103" s="100"/>
      <c r="B103" s="96"/>
    </row>
    <row r="104" spans="1:2" ht="15.75">
      <c r="A104" s="100"/>
      <c r="B104" s="96"/>
    </row>
    <row r="105" spans="1:2" ht="15.75">
      <c r="A105" s="100"/>
      <c r="B105" s="99"/>
    </row>
    <row r="106" spans="1:2" ht="15.75">
      <c r="A106" s="100"/>
      <c r="B106" s="96"/>
    </row>
    <row r="107" spans="1:2" ht="15.75">
      <c r="A107" s="100"/>
      <c r="B107" s="96"/>
    </row>
    <row r="108" spans="1:2" ht="15.75">
      <c r="A108" s="100"/>
      <c r="B108" s="99"/>
    </row>
    <row r="109" spans="1:2" ht="15.75">
      <c r="A109" s="100"/>
      <c r="B109" s="96"/>
    </row>
    <row r="110" spans="1:2" ht="15.75">
      <c r="A110" s="100"/>
      <c r="B110" s="96"/>
    </row>
    <row r="111" spans="1:2" ht="15.75">
      <c r="A111" s="100"/>
      <c r="B111" s="96"/>
    </row>
    <row r="112" spans="1:2" ht="15.75">
      <c r="A112" s="100"/>
      <c r="B112" s="96"/>
    </row>
    <row r="113" spans="1:2" ht="15.75">
      <c r="A113" s="100"/>
      <c r="B113" s="96"/>
    </row>
    <row r="114" spans="1:2" ht="15.75">
      <c r="A114" s="100"/>
      <c r="B114" s="96"/>
    </row>
    <row r="115" spans="1:2" ht="15.75">
      <c r="A115" s="96"/>
    </row>
    <row r="116" spans="1:2" ht="18.75">
      <c r="A116" s="98"/>
    </row>
    <row r="117" spans="1:2" ht="18.75">
      <c r="A117" s="98"/>
    </row>
    <row r="118" spans="1:2" ht="15.75">
      <c r="A118" s="99"/>
    </row>
    <row r="119" spans="1:2" ht="18.75">
      <c r="A119" s="98"/>
    </row>
    <row r="120" spans="1:2" ht="15.75">
      <c r="A120" s="100"/>
      <c r="B120" s="96"/>
    </row>
    <row r="121" spans="1:2" ht="15.75">
      <c r="A121" s="100"/>
      <c r="B121" s="96"/>
    </row>
    <row r="122" spans="1:2" ht="15.75">
      <c r="A122" s="100"/>
      <c r="B122" s="96"/>
    </row>
    <row r="123" spans="1:2" ht="15.75">
      <c r="A123" s="100"/>
      <c r="B123" s="96"/>
    </row>
    <row r="124" spans="1:2" ht="15.75">
      <c r="A124" s="100"/>
      <c r="B124" s="96"/>
    </row>
    <row r="125" spans="1:2" ht="15.75">
      <c r="A125" s="100"/>
      <c r="B125" s="96"/>
    </row>
    <row r="126" spans="1:2" ht="15.75">
      <c r="A126" s="100"/>
      <c r="B126" s="96"/>
    </row>
    <row r="127" spans="1:2" ht="15.75">
      <c r="A127" s="100"/>
      <c r="B127" s="96"/>
    </row>
    <row r="128" spans="1:2" ht="15.75">
      <c r="A128" s="100"/>
      <c r="B128" s="96"/>
    </row>
    <row r="129" spans="1:2" ht="15.75">
      <c r="A129" s="100"/>
      <c r="B129" s="96"/>
    </row>
    <row r="130" spans="1:2" ht="15.75">
      <c r="A130" s="100"/>
      <c r="B130" s="96"/>
    </row>
    <row r="131" spans="1:2" ht="18.75">
      <c r="A131" s="98"/>
    </row>
    <row r="132" spans="1:2" ht="18.75">
      <c r="A132" s="98"/>
    </row>
    <row r="133" spans="1:2" ht="15.75">
      <c r="A133" s="99"/>
    </row>
    <row r="134" spans="1:2" ht="15.75">
      <c r="A134" s="99"/>
    </row>
    <row r="135" spans="1:2" ht="18.75">
      <c r="A135" s="98"/>
    </row>
    <row r="136" spans="1:2" ht="15.75">
      <c r="A136" s="100"/>
      <c r="B136" s="96"/>
    </row>
    <row r="137" spans="1:2" ht="15.75">
      <c r="A137" s="100"/>
      <c r="B137" s="96"/>
    </row>
    <row r="138" spans="1:2" ht="15.75">
      <c r="A138" s="100"/>
      <c r="B138" s="96"/>
    </row>
    <row r="139" spans="1:2" ht="15.75">
      <c r="A139" s="100"/>
      <c r="B139" s="96"/>
    </row>
    <row r="140" spans="1:2" ht="15.75">
      <c r="A140" s="100"/>
      <c r="B140" s="96"/>
    </row>
    <row r="141" spans="1:2" ht="15.75">
      <c r="A141" s="100"/>
      <c r="B141" s="96"/>
    </row>
    <row r="142" spans="1:2" ht="15.75">
      <c r="A142" s="100"/>
      <c r="B142" s="96"/>
    </row>
    <row r="143" spans="1:2" ht="15.75">
      <c r="A143" s="100"/>
      <c r="B143" s="96"/>
    </row>
    <row r="144" spans="1:2" ht="15.75">
      <c r="A144" s="100"/>
      <c r="B144" s="96"/>
    </row>
    <row r="145" spans="1:2" ht="15.75">
      <c r="A145" s="100"/>
      <c r="B145" s="96"/>
    </row>
    <row r="146" spans="1:2" ht="15.75">
      <c r="A146" s="100"/>
      <c r="B146" s="96"/>
    </row>
    <row r="147" spans="1:2" ht="15.75">
      <c r="A147" s="100"/>
      <c r="B147" s="96"/>
    </row>
    <row r="148" spans="1:2" ht="15.75">
      <c r="A148" s="100"/>
      <c r="B148" s="96"/>
    </row>
    <row r="149" spans="1:2" ht="18.75">
      <c r="A149" s="101"/>
    </row>
    <row r="150" spans="1:2" ht="18.75">
      <c r="A150" s="98"/>
    </row>
    <row r="151" spans="1:2" ht="18.75">
      <c r="A151" s="98"/>
    </row>
    <row r="152" spans="1:2" ht="15.75">
      <c r="A152" s="99"/>
    </row>
    <row r="153" spans="1:2" ht="15.75">
      <c r="A153" s="99"/>
    </row>
    <row r="154" spans="1:2" ht="18.75">
      <c r="A154" s="98"/>
    </row>
    <row r="155" spans="1:2" ht="15.75">
      <c r="A155" s="100"/>
      <c r="B155" s="96"/>
    </row>
    <row r="156" spans="1:2" ht="15.75">
      <c r="A156" s="100"/>
      <c r="B156" s="96"/>
    </row>
    <row r="157" spans="1:2" ht="15.75">
      <c r="A157" s="100"/>
      <c r="B157" s="96"/>
    </row>
    <row r="158" spans="1:2" ht="15.75">
      <c r="A158" s="100"/>
      <c r="B158" s="99"/>
    </row>
    <row r="159" spans="1:2" ht="15.75">
      <c r="A159" s="100"/>
      <c r="B159" s="99"/>
    </row>
    <row r="160" spans="1:2" ht="15.75">
      <c r="A160" s="100"/>
      <c r="B160" s="99"/>
    </row>
    <row r="161" spans="1:2" ht="15.75">
      <c r="A161" s="100"/>
      <c r="B161" s="99"/>
    </row>
    <row r="162" spans="1:2" ht="15.75">
      <c r="A162" s="100"/>
      <c r="B162" s="99"/>
    </row>
    <row r="163" spans="1:2" ht="15.75">
      <c r="A163" s="100"/>
      <c r="B163" s="99"/>
    </row>
    <row r="164" spans="1:2" ht="15.75">
      <c r="A164" s="100"/>
      <c r="B164" s="99"/>
    </row>
    <row r="165" spans="1:2" ht="15.75">
      <c r="A165" s="100"/>
      <c r="B165" s="99"/>
    </row>
    <row r="166" spans="1:2" ht="15.75">
      <c r="A166" s="100"/>
      <c r="B166" s="96"/>
    </row>
    <row r="167" spans="1:2" ht="15.75">
      <c r="A167" s="100"/>
      <c r="B167" s="103"/>
    </row>
    <row r="168" spans="1:2" ht="15.75">
      <c r="A168" s="100"/>
      <c r="B168" s="96"/>
    </row>
    <row r="169" spans="1:2" ht="15.75">
      <c r="A169" s="100"/>
      <c r="B169" s="96"/>
    </row>
    <row r="170" spans="1:2" ht="15.75">
      <c r="A170" s="96"/>
    </row>
    <row r="171" spans="1:2" ht="18.75">
      <c r="A171" s="98"/>
    </row>
    <row r="172" spans="1:2" ht="18.75">
      <c r="A172" s="98"/>
    </row>
    <row r="173" spans="1:2" ht="15.75">
      <c r="A173" s="99"/>
    </row>
    <row r="174" spans="1:2" ht="18.75">
      <c r="A174" s="98"/>
    </row>
    <row r="175" spans="1:2" ht="15.75">
      <c r="A175" s="100"/>
      <c r="B175" s="96"/>
    </row>
    <row r="176" spans="1:2" ht="15.75">
      <c r="A176" s="100"/>
      <c r="B176" s="96"/>
    </row>
    <row r="177" spans="1:2" ht="15.75">
      <c r="A177" s="100"/>
      <c r="B177" s="96"/>
    </row>
    <row r="178" spans="1:2" ht="15.75">
      <c r="A178" s="100"/>
      <c r="B178" s="96"/>
    </row>
    <row r="179" spans="1:2" ht="15.75">
      <c r="A179" s="100"/>
      <c r="B179" s="96"/>
    </row>
    <row r="180" spans="1:2" ht="15.75">
      <c r="A180" s="100"/>
      <c r="B180" s="96"/>
    </row>
    <row r="181" spans="1:2" ht="15.75">
      <c r="A181" s="100"/>
      <c r="B181" s="96"/>
    </row>
    <row r="182" spans="1:2" ht="15.75">
      <c r="A182" s="100"/>
      <c r="B182" s="96"/>
    </row>
    <row r="183" spans="1:2" ht="15.75">
      <c r="A183" s="100"/>
      <c r="B183" s="96"/>
    </row>
    <row r="184" spans="1:2" ht="15.75">
      <c r="A184" s="100"/>
      <c r="B184" s="96"/>
    </row>
    <row r="185" spans="1:2" ht="15.75">
      <c r="A185" s="100"/>
      <c r="B185" s="96"/>
    </row>
    <row r="186" spans="1:2" ht="15.75">
      <c r="A186" s="100"/>
      <c r="B186" s="96"/>
    </row>
    <row r="187" spans="1:2" ht="15.75">
      <c r="A187" s="100"/>
      <c r="B187" s="96"/>
    </row>
    <row r="188" spans="1:2" ht="15.75">
      <c r="A188" s="100"/>
      <c r="B188" s="96"/>
    </row>
    <row r="189" spans="1:2" ht="15.75">
      <c r="A189" s="100"/>
      <c r="B189" s="96"/>
    </row>
    <row r="190" spans="1:2" ht="15.75">
      <c r="A190" s="100"/>
      <c r="B190" s="96"/>
    </row>
    <row r="191" spans="1:2" ht="15.75">
      <c r="A191" s="100"/>
      <c r="B191" s="96"/>
    </row>
    <row r="192" spans="1:2" ht="15.75">
      <c r="A192" s="100"/>
      <c r="B192" s="96"/>
    </row>
    <row r="193" spans="1:2" ht="15.75">
      <c r="A193" s="96"/>
    </row>
    <row r="194" spans="1:2" ht="18.75">
      <c r="A194" s="98"/>
    </row>
    <row r="195" spans="1:2" ht="15.75">
      <c r="A195" s="96"/>
    </row>
    <row r="196" spans="1:2" ht="15.75">
      <c r="A196" s="99"/>
    </row>
    <row r="197" spans="1:2" ht="15.75">
      <c r="A197" s="96"/>
    </row>
    <row r="198" spans="1:2" ht="15.75">
      <c r="A198" s="99"/>
    </row>
    <row r="199" spans="1:2" ht="15.75">
      <c r="A199" s="96"/>
    </row>
    <row r="200" spans="1:2" ht="21">
      <c r="A200" s="97"/>
    </row>
    <row r="201" spans="1:2" ht="15.75">
      <c r="A201" s="100"/>
      <c r="B201" s="96"/>
    </row>
    <row r="202" spans="1:2" ht="15.75">
      <c r="A202" s="100"/>
      <c r="B202" s="96"/>
    </row>
    <row r="203" spans="1:2" ht="15.75">
      <c r="A203" s="100"/>
      <c r="B203" s="96"/>
    </row>
    <row r="204" spans="1:2" ht="15.75">
      <c r="A204" s="100"/>
      <c r="B204" s="96"/>
    </row>
    <row r="205" spans="1:2" ht="15.75">
      <c r="A205" s="100"/>
      <c r="B205" s="96"/>
    </row>
    <row r="206" spans="1:2" ht="15.75">
      <c r="A206" s="100"/>
      <c r="B206" s="96"/>
    </row>
    <row r="207" spans="1:2" ht="15.75">
      <c r="A207" s="100"/>
      <c r="B207" s="96"/>
    </row>
    <row r="208" spans="1:2" ht="15.75">
      <c r="A208" s="100"/>
      <c r="B208" s="96"/>
    </row>
    <row r="209" spans="1:2" ht="15.75">
      <c r="A209" s="100"/>
      <c r="B209" s="96"/>
    </row>
    <row r="210" spans="1:2" ht="15.75">
      <c r="A210" s="96"/>
    </row>
    <row r="211" spans="1:2" ht="18.75">
      <c r="A211" s="98"/>
    </row>
    <row r="212" spans="1:2" ht="15.75">
      <c r="A212" s="96"/>
    </row>
    <row r="213" spans="1:2" ht="15.75">
      <c r="A213" s="99"/>
    </row>
    <row r="214" spans="1:2" ht="15.75">
      <c r="A214" s="96"/>
    </row>
    <row r="215" spans="1:2" ht="15.75">
      <c r="A215" s="96"/>
    </row>
    <row r="216" spans="1:2" ht="15.75">
      <c r="A216" s="96"/>
    </row>
    <row r="217" spans="1:2" ht="18.75">
      <c r="A217" s="98"/>
    </row>
    <row r="218" spans="1:2" ht="15.75">
      <c r="A218" s="100"/>
      <c r="B218" s="99"/>
    </row>
    <row r="219" spans="1:2" ht="15.75">
      <c r="A219" s="100"/>
      <c r="B219" s="96"/>
    </row>
    <row r="220" spans="1:2" ht="15.75">
      <c r="A220" s="100"/>
      <c r="B220" s="96"/>
    </row>
    <row r="221" spans="1:2" ht="15.75">
      <c r="A221" s="100"/>
      <c r="B221" s="96"/>
    </row>
    <row r="222" spans="1:2" ht="15.75">
      <c r="A222" s="100"/>
      <c r="B222" s="96"/>
    </row>
    <row r="223" spans="1:2" ht="15.75">
      <c r="A223" s="100"/>
      <c r="B223" s="96"/>
    </row>
    <row r="224" spans="1:2" ht="15.75">
      <c r="A224" s="100"/>
      <c r="B224" s="96"/>
    </row>
    <row r="225" spans="1:2" ht="15.75">
      <c r="A225" s="100"/>
      <c r="B225" s="96"/>
    </row>
    <row r="226" spans="1:2" ht="15.75">
      <c r="A226" s="100"/>
      <c r="B226" s="96"/>
    </row>
    <row r="227" spans="1:2" ht="15.75">
      <c r="A227" s="100"/>
      <c r="B227" s="99"/>
    </row>
    <row r="228" spans="1:2" ht="15.75">
      <c r="A228" s="100"/>
      <c r="B228" s="96"/>
    </row>
    <row r="229" spans="1:2" ht="15.75">
      <c r="A229" s="100"/>
      <c r="B229" s="96"/>
    </row>
    <row r="230" spans="1:2" ht="15.75">
      <c r="A230" s="100"/>
      <c r="B230" s="99"/>
    </row>
    <row r="231" spans="1:2" ht="15.75">
      <c r="A231" s="100"/>
      <c r="B231" s="96"/>
    </row>
    <row r="232" spans="1:2" ht="15.75">
      <c r="A232" s="100"/>
      <c r="B232" s="96"/>
    </row>
    <row r="233" spans="1:2" ht="15.75">
      <c r="A233" s="100"/>
      <c r="B233" s="99"/>
    </row>
    <row r="234" spans="1:2" ht="15.75">
      <c r="A234" s="100"/>
      <c r="B234" s="96"/>
    </row>
    <row r="235" spans="1:2" ht="15.75">
      <c r="A235" s="100"/>
      <c r="B235" s="96"/>
    </row>
    <row r="236" spans="1:2" ht="18.75">
      <c r="A236" s="98"/>
    </row>
    <row r="237" spans="1:2" ht="15.75">
      <c r="A237" s="96"/>
    </row>
    <row r="238" spans="1:2" ht="15.75">
      <c r="A238" s="96"/>
    </row>
    <row r="239" spans="1:2" ht="15.75">
      <c r="A239" s="96"/>
    </row>
    <row r="240" spans="1:2" ht="15.75">
      <c r="A240" s="96"/>
    </row>
    <row r="241" spans="1:2" ht="18.75">
      <c r="A241" s="98"/>
    </row>
    <row r="242" spans="1:2" ht="15.75">
      <c r="A242" s="96"/>
    </row>
    <row r="243" spans="1:2" ht="15.75">
      <c r="A243" s="99"/>
    </row>
    <row r="244" spans="1:2" ht="15.75">
      <c r="A244" s="96"/>
    </row>
    <row r="245" spans="1:2" ht="15.75">
      <c r="A245" s="96"/>
    </row>
    <row r="246" spans="1:2" ht="15.75">
      <c r="A246" s="96"/>
    </row>
    <row r="247" spans="1:2" ht="15.75">
      <c r="A247" s="96"/>
    </row>
    <row r="248" spans="1:2" ht="15.75">
      <c r="A248" s="96"/>
    </row>
    <row r="249" spans="1:2" ht="18.75">
      <c r="A249" s="98"/>
    </row>
    <row r="250" spans="1:2" ht="15.75">
      <c r="A250" s="100"/>
      <c r="B250" s="99"/>
    </row>
    <row r="251" spans="1:2" ht="15.75">
      <c r="A251" s="100"/>
      <c r="B251" s="96"/>
    </row>
    <row r="252" spans="1:2" ht="15.75">
      <c r="A252" s="100"/>
      <c r="B252" s="96"/>
    </row>
    <row r="253" spans="1:2" ht="15.75">
      <c r="A253" s="100"/>
      <c r="B253" s="99"/>
    </row>
    <row r="254" spans="1:2" ht="15.75">
      <c r="A254" s="100"/>
      <c r="B254" s="96"/>
    </row>
    <row r="255" spans="1:2" ht="15.75">
      <c r="A255" s="100"/>
      <c r="B255" s="96"/>
    </row>
    <row r="256" spans="1:2" ht="15.75">
      <c r="A256" s="100"/>
      <c r="B256" s="96"/>
    </row>
    <row r="257" spans="1:2" ht="15.75">
      <c r="A257" s="100"/>
      <c r="B257" s="99"/>
    </row>
    <row r="258" spans="1:2" ht="15.75">
      <c r="A258" s="100"/>
      <c r="B258" s="96"/>
    </row>
    <row r="259" spans="1:2" ht="15.75">
      <c r="A259" s="100"/>
      <c r="B259" s="99"/>
    </row>
    <row r="260" spans="1:2" ht="15.75">
      <c r="A260" s="100"/>
      <c r="B260" s="96"/>
    </row>
    <row r="261" spans="1:2" ht="15.75">
      <c r="A261" s="100"/>
      <c r="B261" s="96"/>
    </row>
    <row r="262" spans="1:2" ht="15.75">
      <c r="A262" s="100"/>
      <c r="B262" s="96"/>
    </row>
    <row r="263" spans="1:2" ht="15.75">
      <c r="A263" s="100"/>
      <c r="B263" s="99"/>
    </row>
    <row r="264" spans="1:2" ht="15.75">
      <c r="A264" s="100"/>
      <c r="B264" s="96"/>
    </row>
    <row r="265" spans="1:2" ht="15.75">
      <c r="A265" s="100"/>
      <c r="B265" s="96"/>
    </row>
    <row r="266" spans="1:2" ht="15.75">
      <c r="A266" s="100"/>
      <c r="B266" s="99"/>
    </row>
    <row r="267" spans="1:2" ht="15.75">
      <c r="A267" s="100"/>
      <c r="B267" s="96"/>
    </row>
    <row r="268" spans="1:2" ht="15.75">
      <c r="A268" s="100"/>
      <c r="B268" s="96"/>
    </row>
    <row r="269" spans="1:2" ht="18.75">
      <c r="A269" s="98"/>
    </row>
    <row r="270" spans="1:2" ht="15.75">
      <c r="A270" s="96"/>
    </row>
    <row r="271" spans="1:2" ht="15.75">
      <c r="A271" s="96"/>
    </row>
    <row r="272" spans="1:2" ht="15.75">
      <c r="A272" s="96"/>
    </row>
    <row r="273" spans="1:2" ht="15.75">
      <c r="A273" s="96"/>
    </row>
    <row r="274" spans="1:2" ht="18.75">
      <c r="A274" s="98"/>
    </row>
    <row r="275" spans="1:2" ht="15.75">
      <c r="A275" s="96"/>
    </row>
    <row r="276" spans="1:2" ht="15.75">
      <c r="A276" s="99"/>
    </row>
    <row r="277" spans="1:2" ht="15.75">
      <c r="A277" s="96"/>
    </row>
    <row r="278" spans="1:2" ht="15.75">
      <c r="A278" s="96"/>
    </row>
    <row r="279" spans="1:2" ht="15.75">
      <c r="A279" s="96"/>
    </row>
    <row r="280" spans="1:2" ht="18.75">
      <c r="A280" s="98"/>
    </row>
    <row r="281" spans="1:2" ht="15.75">
      <c r="A281" s="100"/>
      <c r="B281" s="99"/>
    </row>
    <row r="282" spans="1:2" ht="15.75">
      <c r="A282" s="100"/>
      <c r="B282" s="96"/>
    </row>
    <row r="283" spans="1:2" ht="15.75">
      <c r="A283" s="100"/>
      <c r="B283" s="99"/>
    </row>
    <row r="284" spans="1:2" ht="15.75">
      <c r="A284" s="100"/>
      <c r="B284" s="96"/>
    </row>
    <row r="285" spans="1:2" ht="15.75">
      <c r="A285" s="100"/>
      <c r="B285" s="96"/>
    </row>
    <row r="286" spans="1:2" ht="15.75">
      <c r="A286" s="100"/>
      <c r="B286" s="99"/>
    </row>
    <row r="287" spans="1:2" ht="15.75">
      <c r="A287" s="100"/>
      <c r="B287" s="96"/>
    </row>
    <row r="288" spans="1:2" ht="15.75">
      <c r="A288" s="100"/>
      <c r="B288" s="96"/>
    </row>
    <row r="289" spans="1:2" ht="15.75">
      <c r="A289" s="100"/>
      <c r="B289" s="96"/>
    </row>
    <row r="290" spans="1:2" ht="15.75">
      <c r="A290" s="100"/>
      <c r="B290" s="99"/>
    </row>
    <row r="291" spans="1:2" ht="15.75">
      <c r="A291" s="100"/>
      <c r="B291" s="96"/>
    </row>
    <row r="292" spans="1:2" ht="15.75">
      <c r="A292" s="100"/>
      <c r="B292" s="96"/>
    </row>
    <row r="293" spans="1:2" ht="15.75">
      <c r="A293" s="100"/>
      <c r="B293" s="99"/>
    </row>
    <row r="294" spans="1:2" ht="15.75">
      <c r="A294" s="100"/>
      <c r="B294" s="96"/>
    </row>
    <row r="295" spans="1:2" ht="15.75">
      <c r="A295" s="100"/>
      <c r="B295" s="96"/>
    </row>
    <row r="296" spans="1:2" ht="15.75">
      <c r="A296" s="100"/>
      <c r="B296" s="99"/>
    </row>
    <row r="297" spans="1:2" ht="15.75">
      <c r="A297" s="100"/>
      <c r="B297" s="96"/>
    </row>
    <row r="298" spans="1:2" ht="15.75">
      <c r="A298" s="100"/>
      <c r="B298" s="96"/>
    </row>
    <row r="299" spans="1:2" ht="15.75">
      <c r="A299" s="96"/>
    </row>
    <row r="300" spans="1:2" ht="18.75">
      <c r="A300" s="98"/>
    </row>
    <row r="301" spans="1:2" ht="15.75">
      <c r="A301" s="96"/>
    </row>
    <row r="302" spans="1:2" ht="15.75">
      <c r="A302" s="99"/>
    </row>
    <row r="303" spans="1:2" ht="15.75">
      <c r="A303" s="96"/>
    </row>
    <row r="304" spans="1:2" ht="15.75">
      <c r="A304" s="96"/>
    </row>
    <row r="305" spans="1:2" ht="15.75">
      <c r="A305" s="96"/>
    </row>
    <row r="306" spans="1:2" ht="18.75">
      <c r="A306" s="98"/>
    </row>
    <row r="307" spans="1:2" ht="15.75">
      <c r="A307" s="100"/>
      <c r="B307" s="99"/>
    </row>
    <row r="308" spans="1:2" ht="15.75">
      <c r="A308" s="100"/>
      <c r="B308" s="96"/>
    </row>
    <row r="309" spans="1:2" ht="15.75">
      <c r="A309" s="100"/>
      <c r="B309" s="96"/>
    </row>
    <row r="310" spans="1:2" ht="15.75">
      <c r="A310" s="100"/>
      <c r="B310" s="99"/>
    </row>
    <row r="311" spans="1:2" ht="15.75">
      <c r="A311" s="100"/>
      <c r="B311" s="96"/>
    </row>
    <row r="312" spans="1:2" ht="15.75">
      <c r="A312" s="100"/>
      <c r="B312" s="96"/>
    </row>
    <row r="313" spans="1:2" ht="15.75">
      <c r="A313" s="100"/>
      <c r="B313" s="96"/>
    </row>
    <row r="314" spans="1:2" ht="15.75">
      <c r="A314" s="100"/>
      <c r="B314" s="96"/>
    </row>
    <row r="315" spans="1:2" ht="15.75">
      <c r="A315" s="100"/>
      <c r="B315" s="96"/>
    </row>
    <row r="316" spans="1:2" ht="15.75">
      <c r="A316" s="100"/>
      <c r="B316" s="96"/>
    </row>
    <row r="317" spans="1:2" ht="15.75">
      <c r="A317" s="100"/>
      <c r="B317" s="96"/>
    </row>
    <row r="318" spans="1:2" ht="15.75">
      <c r="A318" s="100"/>
      <c r="B318" s="96"/>
    </row>
    <row r="319" spans="1:2" ht="15.75">
      <c r="A319" s="100"/>
      <c r="B319" s="99"/>
    </row>
    <row r="320" spans="1:2" ht="15.75">
      <c r="A320" s="100"/>
      <c r="B320" s="96"/>
    </row>
    <row r="321" spans="1:2" ht="15.75">
      <c r="A321" s="100"/>
      <c r="B321" s="96"/>
    </row>
    <row r="322" spans="1:2" ht="15.75">
      <c r="A322" s="100"/>
      <c r="B322" s="96"/>
    </row>
    <row r="323" spans="1:2" ht="15.75">
      <c r="A323" s="100"/>
      <c r="B323" s="96"/>
    </row>
    <row r="324" spans="1:2" ht="15.75">
      <c r="A324" s="100"/>
      <c r="B324" s="99"/>
    </row>
    <row r="325" spans="1:2" ht="15.75">
      <c r="A325" s="100"/>
      <c r="B325" s="96"/>
    </row>
    <row r="326" spans="1:2" ht="15.75">
      <c r="A326" s="100"/>
      <c r="B326" s="96"/>
    </row>
    <row r="327" spans="1:2" ht="15.75">
      <c r="A327" s="100"/>
      <c r="B327" s="96"/>
    </row>
    <row r="328" spans="1:2" ht="15.75">
      <c r="A328" s="100"/>
      <c r="B328" s="99"/>
    </row>
    <row r="329" spans="1:2" ht="15.75">
      <c r="A329" s="100"/>
      <c r="B329" s="96"/>
    </row>
    <row r="330" spans="1:2" ht="15.75">
      <c r="A330" s="100"/>
      <c r="B330" s="96"/>
    </row>
    <row r="331" spans="1:2" ht="15.75">
      <c r="A331" s="96"/>
    </row>
    <row r="332" spans="1:2" ht="18.75">
      <c r="A332" s="98"/>
    </row>
    <row r="333" spans="1:2" ht="15.75">
      <c r="A333" s="96"/>
    </row>
    <row r="334" spans="1:2" ht="15.75">
      <c r="A334" s="99"/>
    </row>
    <row r="335" spans="1:2" ht="15.75">
      <c r="A335" s="96"/>
    </row>
    <row r="336" spans="1:2" ht="15.75">
      <c r="A336" s="96"/>
    </row>
    <row r="337" spans="1:2" ht="15.75">
      <c r="A337" s="96"/>
    </row>
    <row r="338" spans="1:2" ht="15.75">
      <c r="A338" s="96"/>
    </row>
    <row r="339" spans="1:2" ht="18.75">
      <c r="A339" s="98"/>
    </row>
    <row r="340" spans="1:2" ht="15.75">
      <c r="A340" s="100"/>
      <c r="B340" s="99"/>
    </row>
    <row r="341" spans="1:2" ht="15.75">
      <c r="A341" s="100"/>
      <c r="B341" s="96"/>
    </row>
    <row r="342" spans="1:2" ht="15.75">
      <c r="A342" s="100"/>
      <c r="B342" s="96"/>
    </row>
    <row r="343" spans="1:2" ht="15.75">
      <c r="A343" s="100"/>
      <c r="B343" s="96"/>
    </row>
    <row r="344" spans="1:2" ht="15.75">
      <c r="A344" s="100"/>
      <c r="B344" s="96"/>
    </row>
    <row r="345" spans="1:2" ht="15.75">
      <c r="A345" s="100"/>
      <c r="B345" s="96"/>
    </row>
    <row r="346" spans="1:2" ht="15.75">
      <c r="A346" s="100"/>
      <c r="B346" s="96"/>
    </row>
    <row r="347" spans="1:2" ht="15.75">
      <c r="A347" s="100"/>
      <c r="B347" s="99"/>
    </row>
    <row r="348" spans="1:2" ht="15.75">
      <c r="A348" s="100"/>
      <c r="B348" s="96"/>
    </row>
    <row r="349" spans="1:2" ht="15.75">
      <c r="A349" s="100"/>
      <c r="B349" s="96"/>
    </row>
    <row r="350" spans="1:2" ht="15.75">
      <c r="A350" s="100"/>
      <c r="B350" s="96"/>
    </row>
    <row r="351" spans="1:2" ht="15.75">
      <c r="A351" s="100"/>
      <c r="B351" s="96"/>
    </row>
    <row r="352" spans="1:2" ht="15.75">
      <c r="A352" s="100"/>
      <c r="B352" s="96"/>
    </row>
    <row r="353" spans="1:2" ht="15.75">
      <c r="A353" s="100"/>
      <c r="B353" s="96"/>
    </row>
    <row r="354" spans="1:2" ht="15.75">
      <c r="A354" s="100"/>
      <c r="B354" s="96"/>
    </row>
    <row r="355" spans="1:2" ht="15.75">
      <c r="A355" s="100"/>
      <c r="B355" s="99"/>
    </row>
    <row r="356" spans="1:2" ht="15.75">
      <c r="A356" s="100"/>
      <c r="B356" s="96"/>
    </row>
    <row r="357" spans="1:2" ht="15.75">
      <c r="A357" s="100"/>
      <c r="B357" s="96"/>
    </row>
    <row r="358" spans="1:2" ht="15.75">
      <c r="A358" s="100"/>
      <c r="B358" s="96"/>
    </row>
    <row r="359" spans="1:2" ht="15.75">
      <c r="A359" s="100"/>
      <c r="B359" s="96"/>
    </row>
    <row r="360" spans="1:2" ht="15.75">
      <c r="A360" s="100"/>
      <c r="B360" s="96"/>
    </row>
    <row r="361" spans="1:2" ht="15.75">
      <c r="A361" s="100"/>
      <c r="B361" s="99"/>
    </row>
    <row r="362" spans="1:2" ht="15.75">
      <c r="A362" s="100"/>
      <c r="B362" s="96"/>
    </row>
    <row r="363" spans="1:2" ht="15.75">
      <c r="A363" s="100"/>
      <c r="B363" s="99"/>
    </row>
    <row r="364" spans="1:2" ht="15.75">
      <c r="A364" s="100"/>
      <c r="B364" s="96"/>
    </row>
    <row r="365" spans="1:2" ht="15.75">
      <c r="A365" s="100"/>
      <c r="B365" s="99"/>
    </row>
    <row r="366" spans="1:2" ht="15.75">
      <c r="A366" s="100"/>
      <c r="B366" s="96"/>
    </row>
    <row r="367" spans="1:2" ht="18.75">
      <c r="A367" s="98"/>
    </row>
    <row r="368" spans="1:2" ht="15.75">
      <c r="A368" s="96"/>
    </row>
    <row r="369" spans="1:2" ht="15.75">
      <c r="A369" s="99"/>
    </row>
    <row r="370" spans="1:2" ht="15.75">
      <c r="A370" s="96"/>
    </row>
    <row r="371" spans="1:2" ht="15.75">
      <c r="A371" s="96"/>
    </row>
    <row r="372" spans="1:2" ht="15.75">
      <c r="A372" s="96"/>
    </row>
    <row r="373" spans="1:2" ht="18.75">
      <c r="A373" s="98"/>
    </row>
    <row r="374" spans="1:2" ht="15.75">
      <c r="A374" s="100"/>
      <c r="B374" s="99"/>
    </row>
    <row r="375" spans="1:2" ht="15.75">
      <c r="A375" s="100"/>
      <c r="B375" s="96"/>
    </row>
    <row r="376" spans="1:2" ht="15.75">
      <c r="A376" s="100"/>
      <c r="B376" s="96"/>
    </row>
    <row r="377" spans="1:2" ht="15.75">
      <c r="A377" s="100"/>
      <c r="B377" s="99"/>
    </row>
    <row r="378" spans="1:2" ht="15.75">
      <c r="A378" s="100"/>
      <c r="B378" s="96"/>
    </row>
    <row r="379" spans="1:2" ht="15.75">
      <c r="A379" s="100"/>
      <c r="B379" s="96"/>
    </row>
    <row r="380" spans="1:2" ht="15.75">
      <c r="A380" s="100"/>
      <c r="B380" s="96"/>
    </row>
    <row r="381" spans="1:2" ht="15.75">
      <c r="A381" s="100"/>
      <c r="B381" s="96"/>
    </row>
    <row r="382" spans="1:2" ht="15.75">
      <c r="A382" s="100"/>
      <c r="B382" s="96"/>
    </row>
    <row r="383" spans="1:2" ht="15.75">
      <c r="A383" s="100"/>
      <c r="B383" s="99"/>
    </row>
    <row r="384" spans="1:2" ht="15.75">
      <c r="A384" s="100"/>
      <c r="B384" s="99"/>
    </row>
    <row r="385" spans="1:2" ht="15.75">
      <c r="A385" s="100"/>
      <c r="B385" s="96"/>
    </row>
    <row r="386" spans="1:2" ht="15.75">
      <c r="A386" s="100"/>
      <c r="B386" s="96"/>
    </row>
    <row r="387" spans="1:2" ht="15.75">
      <c r="A387" s="100"/>
      <c r="B387" s="99"/>
    </row>
    <row r="388" spans="1:2" ht="15.75">
      <c r="A388" s="100"/>
      <c r="B388" s="96"/>
    </row>
    <row r="389" spans="1:2" ht="15.75">
      <c r="A389" s="100"/>
      <c r="B389" s="99"/>
    </row>
    <row r="390" spans="1:2" ht="15.75">
      <c r="A390" s="100"/>
      <c r="B390" s="96"/>
    </row>
    <row r="391" spans="1:2" ht="15.75">
      <c r="A391" s="100"/>
      <c r="B391" s="96"/>
    </row>
    <row r="392" spans="1:2" ht="15.75">
      <c r="A392" s="96"/>
    </row>
    <row r="393" spans="1:2" ht="15.75">
      <c r="A393" s="96"/>
    </row>
    <row r="394" spans="1:2" ht="15.75">
      <c r="A394" s="96"/>
    </row>
    <row r="395" spans="1:2" ht="15.75">
      <c r="A395" s="96"/>
    </row>
    <row r="396" spans="1:2" ht="18.75">
      <c r="A396" s="98"/>
    </row>
    <row r="397" spans="1:2" ht="15.75">
      <c r="A397" s="96"/>
    </row>
    <row r="398" spans="1:2" ht="15.75">
      <c r="A398" s="99"/>
    </row>
    <row r="399" spans="1:2" ht="15.75">
      <c r="A399" s="96"/>
    </row>
    <row r="400" spans="1:2" ht="15.75">
      <c r="A400" s="96"/>
    </row>
    <row r="401" spans="1:2" ht="15.75">
      <c r="A401" s="96"/>
    </row>
    <row r="402" spans="1:2" ht="18.75">
      <c r="A402" s="98"/>
    </row>
    <row r="403" spans="1:2" ht="15.75">
      <c r="A403" s="100"/>
      <c r="B403" s="99"/>
    </row>
    <row r="404" spans="1:2" ht="15.75">
      <c r="A404" s="100"/>
      <c r="B404" s="96"/>
    </row>
    <row r="405" spans="1:2" ht="15.75">
      <c r="A405" s="100"/>
      <c r="B405" s="96"/>
    </row>
    <row r="406" spans="1:2" ht="15.75">
      <c r="A406" s="100"/>
      <c r="B406" s="99"/>
    </row>
    <row r="407" spans="1:2" ht="15.75">
      <c r="A407" s="100"/>
      <c r="B407" s="96"/>
    </row>
    <row r="408" spans="1:2" ht="15.75">
      <c r="A408" s="100"/>
      <c r="B408" s="99"/>
    </row>
    <row r="409" spans="1:2" ht="15.75">
      <c r="A409" s="100"/>
      <c r="B409" s="96"/>
    </row>
    <row r="410" spans="1:2" ht="15.75">
      <c r="A410" s="100"/>
      <c r="B410" s="96"/>
    </row>
    <row r="411" spans="1:2" ht="15.75">
      <c r="A411" s="100"/>
      <c r="B411" s="96"/>
    </row>
    <row r="412" spans="1:2" ht="15.75">
      <c r="A412" s="100"/>
      <c r="B412" s="96"/>
    </row>
    <row r="413" spans="1:2" ht="15.75">
      <c r="A413" s="100"/>
      <c r="B413" s="96"/>
    </row>
    <row r="414" spans="1:2" ht="15.75">
      <c r="A414" s="100"/>
      <c r="B414" s="99"/>
    </row>
    <row r="415" spans="1:2" ht="15.75">
      <c r="A415" s="100"/>
      <c r="B415" s="96"/>
    </row>
    <row r="416" spans="1:2" ht="15.75">
      <c r="A416" s="100"/>
      <c r="B416" s="96"/>
    </row>
    <row r="417" spans="1:2" ht="15.75">
      <c r="A417" s="100"/>
      <c r="B417" s="96"/>
    </row>
    <row r="418" spans="1:2" ht="15.75">
      <c r="A418" s="100"/>
      <c r="B418" s="99"/>
    </row>
    <row r="419" spans="1:2" ht="15.75">
      <c r="A419" s="100"/>
      <c r="B419" s="96"/>
    </row>
    <row r="420" spans="1:2" ht="15.75">
      <c r="A420" s="100"/>
      <c r="B420" s="96"/>
    </row>
    <row r="421" spans="1:2" ht="15.75">
      <c r="A421" s="100"/>
      <c r="B421" s="99"/>
    </row>
    <row r="422" spans="1:2" ht="15.75">
      <c r="A422" s="100"/>
      <c r="B422" s="96"/>
    </row>
    <row r="423" spans="1:2" ht="15.75">
      <c r="A423" s="100"/>
      <c r="B423" s="99"/>
    </row>
    <row r="424" spans="1:2" ht="15.75">
      <c r="A424" s="96"/>
    </row>
    <row r="425" spans="1:2" ht="18.75">
      <c r="A425" s="98"/>
    </row>
    <row r="426" spans="1:2" ht="15.75">
      <c r="A426" s="99"/>
    </row>
    <row r="427" spans="1:2" ht="15.75">
      <c r="A427" s="96"/>
    </row>
    <row r="428" spans="1:2" ht="15.75">
      <c r="A428" s="96"/>
    </row>
    <row r="429" spans="1:2" ht="15.75">
      <c r="A429" s="96"/>
    </row>
    <row r="430" spans="1:2" ht="18.75">
      <c r="A430" s="98"/>
    </row>
    <row r="431" spans="1:2" ht="15.75">
      <c r="A431" s="100"/>
      <c r="B431" s="99"/>
    </row>
    <row r="432" spans="1:2" ht="15.75">
      <c r="A432" s="100"/>
      <c r="B432" s="96"/>
    </row>
    <row r="433" spans="1:2" ht="15.75">
      <c r="A433" s="100"/>
      <c r="B433" s="99"/>
    </row>
    <row r="434" spans="1:2" ht="15.75">
      <c r="A434" s="100"/>
      <c r="B434" s="96"/>
    </row>
    <row r="435" spans="1:2" ht="15.75">
      <c r="A435" s="100"/>
      <c r="B435" s="96"/>
    </row>
    <row r="436" spans="1:2" ht="15.75">
      <c r="A436" s="100"/>
      <c r="B436" s="99"/>
    </row>
    <row r="437" spans="1:2" ht="15.75">
      <c r="A437" s="100"/>
      <c r="B437" s="96"/>
    </row>
    <row r="438" spans="1:2" ht="15.75">
      <c r="A438" s="100"/>
      <c r="B438" s="96"/>
    </row>
    <row r="439" spans="1:2" ht="15.75">
      <c r="A439" s="100"/>
      <c r="B439" s="96"/>
    </row>
    <row r="440" spans="1:2" ht="15.75">
      <c r="A440" s="100"/>
      <c r="B440" s="99"/>
    </row>
    <row r="441" spans="1:2" ht="15.75">
      <c r="A441" s="100"/>
      <c r="B441" s="96"/>
    </row>
    <row r="442" spans="1:2" ht="15.75">
      <c r="A442" s="100"/>
      <c r="B442" s="96"/>
    </row>
    <row r="443" spans="1:2" ht="15.75">
      <c r="A443" s="100"/>
      <c r="B443" s="99"/>
    </row>
    <row r="444" spans="1:2" ht="15.75">
      <c r="A444" s="100"/>
      <c r="B444" s="96"/>
    </row>
    <row r="445" spans="1:2" ht="15.75">
      <c r="A445" s="100"/>
      <c r="B445" s="99"/>
    </row>
    <row r="446" spans="1:2" ht="15.75">
      <c r="A446" s="100"/>
      <c r="B446" s="96"/>
    </row>
    <row r="447" spans="1:2" ht="15.75">
      <c r="A447" s="100"/>
      <c r="B447" s="99"/>
    </row>
    <row r="448" spans="1:2" ht="15.75">
      <c r="A448" s="100"/>
      <c r="B448" s="96"/>
    </row>
    <row r="449" spans="1:2" ht="15.75">
      <c r="A449" s="100"/>
      <c r="B449" s="96"/>
    </row>
    <row r="450" spans="1:2" ht="18.75">
      <c r="A450" s="98"/>
    </row>
    <row r="451" spans="1:2" ht="15.75">
      <c r="A451" s="96"/>
    </row>
    <row r="452" spans="1:2" ht="15.75">
      <c r="A452" s="99"/>
    </row>
    <row r="453" spans="1:2" ht="15.75">
      <c r="A453" s="96"/>
    </row>
    <row r="454" spans="1:2" ht="15.75">
      <c r="A454" s="96"/>
    </row>
    <row r="455" spans="1:2" ht="15.75">
      <c r="A455" s="96"/>
    </row>
    <row r="456" spans="1:2" ht="15.75">
      <c r="A456" s="96"/>
    </row>
    <row r="457" spans="1:2" ht="15.75">
      <c r="A457" s="96"/>
    </row>
    <row r="458" spans="1:2" ht="18.75">
      <c r="A458" s="98"/>
    </row>
    <row r="459" spans="1:2" ht="15.75">
      <c r="A459" s="100"/>
      <c r="B459" s="99"/>
    </row>
    <row r="460" spans="1:2" ht="15.75">
      <c r="A460" s="100"/>
      <c r="B460" s="96"/>
    </row>
    <row r="461" spans="1:2" ht="15.75">
      <c r="A461" s="100"/>
      <c r="B461" s="99"/>
    </row>
    <row r="462" spans="1:2" ht="15.75">
      <c r="A462" s="100"/>
      <c r="B462" s="99"/>
    </row>
    <row r="463" spans="1:2" ht="15.75">
      <c r="A463" s="100"/>
      <c r="B463" s="99"/>
    </row>
    <row r="464" spans="1:2" ht="15.75">
      <c r="A464" s="100"/>
      <c r="B464" s="99"/>
    </row>
    <row r="465" spans="1:2" ht="15.75">
      <c r="A465" s="100"/>
      <c r="B465" s="99"/>
    </row>
    <row r="466" spans="1:2" ht="15.75">
      <c r="A466" s="100"/>
      <c r="B466" s="99"/>
    </row>
    <row r="467" spans="1:2" ht="15.75">
      <c r="A467" s="100"/>
      <c r="B467" s="96"/>
    </row>
    <row r="468" spans="1:2" ht="15.75">
      <c r="A468" s="100"/>
      <c r="B468" s="96"/>
    </row>
    <row r="469" spans="1:2" ht="15.75">
      <c r="A469" s="100"/>
      <c r="B469" s="96"/>
    </row>
    <row r="470" spans="1:2" ht="15.75">
      <c r="A470" s="100"/>
      <c r="B470" s="96"/>
    </row>
    <row r="471" spans="1:2" ht="15.75">
      <c r="A471" s="100"/>
      <c r="B471" s="96"/>
    </row>
    <row r="472" spans="1:2" ht="15.75">
      <c r="A472" s="100"/>
      <c r="B472" s="99"/>
    </row>
    <row r="473" spans="1:2" ht="15.75">
      <c r="A473" s="100"/>
      <c r="B473" s="96"/>
    </row>
    <row r="474" spans="1:2" ht="15.75">
      <c r="A474" s="100"/>
      <c r="B474" s="96"/>
    </row>
    <row r="475" spans="1:2" ht="15.75">
      <c r="A475" s="100"/>
      <c r="B475" s="96"/>
    </row>
    <row r="476" spans="1:2" ht="15.75">
      <c r="A476" s="100"/>
      <c r="B476" s="96"/>
    </row>
    <row r="477" spans="1:2" ht="15.75">
      <c r="A477" s="100"/>
      <c r="B477" s="96"/>
    </row>
    <row r="478" spans="1:2" ht="15.75">
      <c r="A478" s="100"/>
      <c r="B478" s="96"/>
    </row>
    <row r="479" spans="1:2" ht="15.75">
      <c r="A479" s="100"/>
      <c r="B479" s="96"/>
    </row>
    <row r="480" spans="1:2" ht="15.75">
      <c r="A480" s="100"/>
      <c r="B480" s="99"/>
    </row>
    <row r="481" spans="1:2" ht="15.75">
      <c r="A481" s="100"/>
      <c r="B481" s="96"/>
    </row>
    <row r="482" spans="1:2" ht="15.75">
      <c r="A482" s="100"/>
      <c r="B482" s="96"/>
    </row>
    <row r="483" spans="1:2" ht="15.75">
      <c r="A483" s="100"/>
      <c r="B483" s="99"/>
    </row>
    <row r="484" spans="1:2" ht="15.75">
      <c r="A484" s="100"/>
      <c r="B484" s="96"/>
    </row>
    <row r="485" spans="1:2" ht="15.75">
      <c r="A485" s="96"/>
    </row>
    <row r="486" spans="1:2" ht="18.75">
      <c r="A486" s="98"/>
    </row>
    <row r="487" spans="1:2" ht="15.75">
      <c r="A487" s="96"/>
    </row>
    <row r="488" spans="1:2" ht="15.75">
      <c r="A488" s="99"/>
    </row>
    <row r="489" spans="1:2" ht="15.75">
      <c r="A489" s="96"/>
    </row>
    <row r="490" spans="1:2" ht="15.75">
      <c r="A490" s="96"/>
    </row>
    <row r="491" spans="1:2" ht="15.75">
      <c r="A491" s="96"/>
    </row>
    <row r="492" spans="1:2" ht="15.75">
      <c r="A492" s="96"/>
    </row>
    <row r="493" spans="1:2" ht="18.75">
      <c r="A493" s="98"/>
    </row>
    <row r="494" spans="1:2" ht="15.75">
      <c r="A494" s="100"/>
      <c r="B494" s="99"/>
    </row>
    <row r="495" spans="1:2" ht="15.75">
      <c r="A495" s="100"/>
      <c r="B495" s="96"/>
    </row>
    <row r="496" spans="1:2" ht="15.75">
      <c r="A496" s="100"/>
      <c r="B496" s="96"/>
    </row>
    <row r="497" spans="1:2" ht="15.75">
      <c r="A497" s="100"/>
      <c r="B497" s="99"/>
    </row>
    <row r="498" spans="1:2" ht="15.75">
      <c r="A498" s="100"/>
      <c r="B498" s="96"/>
    </row>
    <row r="499" spans="1:2" ht="15.75">
      <c r="A499" s="100"/>
      <c r="B499" s="96"/>
    </row>
    <row r="500" spans="1:2" ht="15.75">
      <c r="A500" s="100"/>
      <c r="B500" s="96"/>
    </row>
    <row r="501" spans="1:2" ht="15.75">
      <c r="A501" s="100"/>
      <c r="B501" s="96"/>
    </row>
    <row r="502" spans="1:2" ht="15.75">
      <c r="A502" s="100"/>
      <c r="B502" s="96"/>
    </row>
    <row r="503" spans="1:2" ht="15.75">
      <c r="A503" s="100"/>
      <c r="B503" s="99"/>
    </row>
    <row r="504" spans="1:2" ht="15.75">
      <c r="A504" s="100"/>
      <c r="B504" s="96"/>
    </row>
    <row r="505" spans="1:2" ht="15.75">
      <c r="A505" s="100"/>
      <c r="B505" s="96"/>
    </row>
    <row r="506" spans="1:2" ht="15.75">
      <c r="A506" s="100"/>
      <c r="B506" s="96"/>
    </row>
    <row r="507" spans="1:2" ht="15.75">
      <c r="A507" s="100"/>
      <c r="B507" s="99"/>
    </row>
    <row r="508" spans="1:2" ht="15.75">
      <c r="A508" s="100"/>
      <c r="B508" s="96"/>
    </row>
    <row r="509" spans="1:2" ht="15.75">
      <c r="A509" s="100"/>
      <c r="B509" s="96"/>
    </row>
    <row r="510" spans="1:2" ht="15.75">
      <c r="A510" s="100"/>
      <c r="B510" s="96"/>
    </row>
    <row r="511" spans="1:2" ht="15.75">
      <c r="A511" s="100"/>
      <c r="B511" s="99"/>
    </row>
    <row r="512" spans="1:2" ht="15.75">
      <c r="A512" s="100"/>
      <c r="B512" s="96"/>
    </row>
    <row r="513" spans="1:2" ht="15.75">
      <c r="A513" s="100"/>
      <c r="B513" s="96"/>
    </row>
    <row r="514" spans="1:2" ht="15.75">
      <c r="A514" s="100"/>
      <c r="B514" s="99"/>
    </row>
    <row r="515" spans="1:2" ht="15.75">
      <c r="A515" s="100"/>
      <c r="B515" s="96"/>
    </row>
    <row r="516" spans="1:2" ht="15.75">
      <c r="A516" s="96"/>
    </row>
    <row r="517" spans="1:2" ht="18.75">
      <c r="A517" s="98"/>
    </row>
    <row r="518" spans="1:2" ht="15.75">
      <c r="A518" s="96"/>
    </row>
    <row r="519" spans="1:2" ht="15.75">
      <c r="A519" s="99"/>
    </row>
    <row r="520" spans="1:2" ht="15.75">
      <c r="A520" s="96"/>
    </row>
    <row r="521" spans="1:2" ht="15.75">
      <c r="A521" s="96"/>
    </row>
    <row r="522" spans="1:2" ht="15.75">
      <c r="A522" s="96"/>
    </row>
    <row r="523" spans="1:2" ht="18.75">
      <c r="A523" s="98"/>
    </row>
    <row r="524" spans="1:2" ht="15.75">
      <c r="A524" s="100"/>
      <c r="B524" s="99"/>
    </row>
    <row r="525" spans="1:2" ht="15.75">
      <c r="A525" s="100"/>
      <c r="B525" s="96"/>
    </row>
    <row r="526" spans="1:2" ht="15.75">
      <c r="A526" s="100"/>
      <c r="B526" s="96"/>
    </row>
    <row r="527" spans="1:2" ht="15.75">
      <c r="A527" s="100"/>
      <c r="B527" s="99"/>
    </row>
    <row r="528" spans="1:2" ht="15.75">
      <c r="A528" s="100"/>
      <c r="B528" s="96"/>
    </row>
    <row r="529" spans="1:2" ht="15.75">
      <c r="A529" s="100"/>
      <c r="B529" s="96"/>
    </row>
    <row r="530" spans="1:2" ht="15.75">
      <c r="A530" s="100"/>
      <c r="B530" s="99"/>
    </row>
    <row r="531" spans="1:2" ht="15.75">
      <c r="A531" s="100"/>
      <c r="B531" s="96"/>
    </row>
    <row r="532" spans="1:2" ht="15.75">
      <c r="A532" s="100"/>
      <c r="B532" s="96"/>
    </row>
    <row r="533" spans="1:2" ht="15.75">
      <c r="A533" s="100"/>
      <c r="B533" s="99"/>
    </row>
    <row r="534" spans="1:2" ht="15.75">
      <c r="A534" s="100"/>
      <c r="B534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workbookViewId="0">
      <pane ySplit="2" topLeftCell="A3" activePane="bottomLeft" state="frozen"/>
      <selection pane="bottomLeft" activeCell="B10" sqref="B10"/>
    </sheetView>
  </sheetViews>
  <sheetFormatPr defaultRowHeight="15"/>
  <cols>
    <col min="1" max="1" width="9.5703125" style="1" bestFit="1" customWidth="1"/>
    <col min="2" max="2" width="68.85546875" style="1" customWidth="1"/>
    <col min="3" max="3" width="33.28515625" style="1" customWidth="1"/>
    <col min="4" max="4" width="24.140625" style="1" bestFit="1" customWidth="1"/>
    <col min="5" max="5" width="23.28515625" style="1" bestFit="1" customWidth="1"/>
    <col min="6" max="6" width="20" style="1" bestFit="1" customWidth="1"/>
    <col min="7" max="7" width="19.140625" style="1" bestFit="1" customWidth="1"/>
    <col min="8" max="8" width="9.140625" style="1"/>
    <col min="9" max="9" width="11.140625" style="1" customWidth="1"/>
    <col min="10" max="16384" width="9.140625" style="1"/>
  </cols>
  <sheetData>
    <row r="1" spans="1:5" ht="15.75" customHeight="1">
      <c r="A1" s="109" t="s">
        <v>17</v>
      </c>
      <c r="B1" s="110" t="s">
        <v>18</v>
      </c>
      <c r="C1" s="111" t="s">
        <v>19</v>
      </c>
      <c r="D1" s="108" t="s">
        <v>20</v>
      </c>
      <c r="E1" s="109" t="s">
        <v>21</v>
      </c>
    </row>
    <row r="2" spans="1:5" ht="15.75" customHeight="1">
      <c r="A2" s="109"/>
      <c r="B2" s="110"/>
      <c r="C2" s="111"/>
      <c r="D2" s="108"/>
      <c r="E2" s="109"/>
    </row>
    <row r="3" spans="1:5">
      <c r="A3" s="33"/>
      <c r="B3" s="33"/>
      <c r="C3" s="27"/>
    </row>
    <row r="4" spans="1:5" ht="15.75">
      <c r="B4" s="29"/>
      <c r="C4" s="27"/>
    </row>
    <row r="5" spans="1:5" ht="18.75">
      <c r="B5" s="30"/>
      <c r="C5" s="27"/>
    </row>
    <row r="6" spans="1:5" ht="18.75">
      <c r="B6" s="30"/>
      <c r="C6" s="27"/>
    </row>
    <row r="7" spans="1:5" ht="18.75">
      <c r="A7" s="33"/>
      <c r="B7" s="34"/>
      <c r="C7" s="27"/>
    </row>
    <row r="8" spans="1:5" ht="18.75">
      <c r="B8" s="30"/>
      <c r="C8" s="27"/>
    </row>
    <row r="9" spans="1:5" ht="18.75">
      <c r="B9" s="31"/>
      <c r="C9" s="27"/>
    </row>
    <row r="10" spans="1:5" ht="18.75">
      <c r="B10" s="31"/>
      <c r="C10" s="27"/>
    </row>
    <row r="11" spans="1:5" ht="18.75">
      <c r="B11" s="31"/>
      <c r="C11" s="27"/>
    </row>
    <row r="12" spans="1:5" ht="18.75">
      <c r="A12" s="33"/>
      <c r="B12" s="34"/>
      <c r="C12" s="27"/>
    </row>
    <row r="13" spans="1:5" ht="18.75">
      <c r="B13" s="30"/>
      <c r="C13" s="27"/>
    </row>
    <row r="14" spans="1:5" ht="18.75">
      <c r="B14" s="31"/>
      <c r="C14" s="27"/>
    </row>
    <row r="15" spans="1:5" ht="18.75">
      <c r="A15" s="33"/>
      <c r="B15" s="34"/>
      <c r="C15" s="27"/>
    </row>
    <row r="16" spans="1:5" ht="18.75">
      <c r="B16" s="31"/>
      <c r="C16" s="27"/>
    </row>
    <row r="17" spans="1:3" ht="18.75">
      <c r="A17" s="33"/>
      <c r="B17" s="34"/>
      <c r="C17" s="27"/>
    </row>
    <row r="18" spans="1:3" ht="18.75">
      <c r="B18" s="31"/>
      <c r="C18" s="27"/>
    </row>
    <row r="19" spans="1:3" ht="18.75">
      <c r="B19" s="31"/>
      <c r="C19" s="27"/>
    </row>
    <row r="20" spans="1:3" ht="18.75">
      <c r="B20" s="31"/>
      <c r="C20" s="27"/>
    </row>
    <row r="21" spans="1:3" ht="18.75">
      <c r="A21" s="33"/>
      <c r="B21" s="32"/>
      <c r="C21" s="27"/>
    </row>
    <row r="22" spans="1:3" ht="18.75">
      <c r="B22" s="31"/>
      <c r="C22" s="27"/>
    </row>
    <row r="23" spans="1:3" ht="18.75">
      <c r="B23" s="31"/>
      <c r="C23" s="27"/>
    </row>
    <row r="24" spans="1:3" ht="18.75">
      <c r="B24" s="31"/>
      <c r="C24" s="27"/>
    </row>
    <row r="25" spans="1:3" ht="18.75">
      <c r="B25" s="31"/>
      <c r="C25" s="27"/>
    </row>
    <row r="26" spans="1:3" ht="18.75">
      <c r="A26" s="33"/>
      <c r="B26" s="32"/>
      <c r="C26" s="27"/>
    </row>
    <row r="27" spans="1:3" ht="18.75">
      <c r="B27" s="31"/>
      <c r="C27" s="27"/>
    </row>
    <row r="28" spans="1:3" ht="18.75">
      <c r="B28" s="31"/>
      <c r="C28" s="27"/>
    </row>
    <row r="29" spans="1:3" ht="18.75">
      <c r="B29" s="31"/>
      <c r="C29" s="27"/>
    </row>
    <row r="30" spans="1:3" ht="18.75">
      <c r="A30" s="33"/>
      <c r="B30" s="32"/>
      <c r="C30" s="27"/>
    </row>
    <row r="31" spans="1:3" ht="18.75">
      <c r="B31" s="31"/>
      <c r="C31" s="27"/>
    </row>
    <row r="32" spans="1:3" ht="18.75">
      <c r="A32" s="33"/>
      <c r="B32" s="32"/>
      <c r="C32" s="27"/>
    </row>
    <row r="33" spans="1:3" ht="18.75">
      <c r="B33" s="31"/>
      <c r="C33" s="27"/>
    </row>
    <row r="34" spans="1:3" ht="18.75">
      <c r="B34" s="31"/>
      <c r="C34" s="27"/>
    </row>
    <row r="35" spans="1:3" ht="18.75">
      <c r="A35" s="33"/>
      <c r="B35" s="32"/>
    </row>
    <row r="36" spans="1:3" ht="18.75">
      <c r="B36" s="35"/>
      <c r="C36" s="27"/>
    </row>
    <row r="37" spans="1:3" ht="18.75">
      <c r="A37" s="33"/>
      <c r="B37" s="32"/>
    </row>
    <row r="38" spans="1:3" ht="18.75">
      <c r="B38" s="35"/>
      <c r="C38" s="27"/>
    </row>
    <row r="39" spans="1:3" ht="18.75">
      <c r="B39" s="35"/>
      <c r="C39" s="27"/>
    </row>
    <row r="40" spans="1:3" ht="18.75">
      <c r="B40" s="35"/>
      <c r="C40" s="27"/>
    </row>
    <row r="41" spans="1:3" ht="18.75">
      <c r="B41" s="35"/>
      <c r="C41" s="27"/>
    </row>
    <row r="42" spans="1:3" ht="18.75">
      <c r="A42" s="33"/>
      <c r="B42" s="64"/>
    </row>
    <row r="43" spans="1:3" ht="18.75">
      <c r="B43" s="35"/>
      <c r="C43" s="27"/>
    </row>
    <row r="44" spans="1:3" ht="18.75">
      <c r="B44" s="35"/>
      <c r="C44" s="27"/>
    </row>
    <row r="45" spans="1:3" ht="18.75">
      <c r="B45" s="35"/>
      <c r="C45" s="27"/>
    </row>
    <row r="46" spans="1:3" ht="18.75">
      <c r="A46" s="33"/>
      <c r="B46" s="32"/>
    </row>
    <row r="47" spans="1:3" ht="18.75">
      <c r="B47" s="55"/>
      <c r="C47" s="27"/>
    </row>
    <row r="48" spans="1:3" ht="18.75">
      <c r="B48" s="55"/>
      <c r="C48" s="27"/>
    </row>
    <row r="49" spans="1:3" ht="18.75">
      <c r="B49" s="55"/>
      <c r="C49" s="27"/>
    </row>
    <row r="50" spans="1:3" ht="18.75">
      <c r="B50" s="55"/>
      <c r="C50" s="27"/>
    </row>
    <row r="51" spans="1:3" ht="18.75">
      <c r="B51" s="55"/>
      <c r="C51" s="27"/>
    </row>
    <row r="52" spans="1:3" ht="18.75">
      <c r="B52" s="55"/>
      <c r="C52" s="27"/>
    </row>
    <row r="53" spans="1:3" ht="18.75">
      <c r="B53" s="55"/>
      <c r="C53" s="27"/>
    </row>
    <row r="54" spans="1:3" ht="18.75">
      <c r="B54" s="55"/>
      <c r="C54" s="27"/>
    </row>
    <row r="55" spans="1:3" ht="18.75">
      <c r="A55" s="33"/>
      <c r="B55" s="32"/>
      <c r="C55" s="27"/>
    </row>
    <row r="56" spans="1:3" ht="18.75">
      <c r="B56" s="55"/>
      <c r="C56" s="27"/>
    </row>
    <row r="57" spans="1:3" ht="18.75">
      <c r="B57" s="55"/>
      <c r="C57" s="27"/>
    </row>
    <row r="58" spans="1:3" ht="18.75">
      <c r="A58" s="33"/>
      <c r="B58" s="32"/>
      <c r="C58" s="27"/>
    </row>
    <row r="59" spans="1:3" ht="18.75">
      <c r="B59" s="55"/>
      <c r="C59" s="27"/>
    </row>
    <row r="60" spans="1:3" ht="18.75">
      <c r="A60" s="33"/>
      <c r="B60" s="32"/>
      <c r="C60" s="27"/>
    </row>
    <row r="61" spans="1:3" ht="18.75">
      <c r="B61" s="55"/>
      <c r="C61" s="27"/>
    </row>
    <row r="62" spans="1:3" ht="18.75">
      <c r="A62" s="33"/>
      <c r="B62" s="32"/>
      <c r="C62" s="27"/>
    </row>
    <row r="63" spans="1:3" ht="18.75">
      <c r="B63" s="55"/>
      <c r="C63" s="27"/>
    </row>
    <row r="64" spans="1:3" ht="18.75">
      <c r="B64" s="55"/>
      <c r="C64" s="27"/>
    </row>
    <row r="65" spans="1:3" ht="18.75">
      <c r="B65" s="55"/>
      <c r="C65" s="27"/>
    </row>
    <row r="66" spans="1:3" ht="18.75">
      <c r="B66" s="55"/>
      <c r="C66" s="27"/>
    </row>
    <row r="67" spans="1:3" ht="18.75">
      <c r="B67" s="55"/>
      <c r="C67" s="27"/>
    </row>
    <row r="68" spans="1:3" ht="18.75">
      <c r="B68" s="55"/>
      <c r="C68" s="27"/>
    </row>
    <row r="69" spans="1:3" ht="18.75">
      <c r="A69" s="33"/>
      <c r="B69" s="32"/>
      <c r="C69" s="27"/>
    </row>
    <row r="70" spans="1:3" ht="18.75">
      <c r="B70" s="55"/>
      <c r="C70" s="27"/>
    </row>
    <row r="71" spans="1:3" ht="18.75">
      <c r="B71" s="55"/>
      <c r="C71" s="27"/>
    </row>
    <row r="72" spans="1:3" ht="18.75">
      <c r="A72" s="33"/>
      <c r="B72" s="32"/>
      <c r="C72" s="27"/>
    </row>
    <row r="73" spans="1:3" ht="18.75">
      <c r="B73" s="55"/>
      <c r="C73" s="27"/>
    </row>
    <row r="74" spans="1:3" ht="18.75">
      <c r="A74" s="33"/>
      <c r="B74" s="59"/>
      <c r="C74" s="27"/>
    </row>
    <row r="75" spans="1:3" ht="18.75">
      <c r="B75" s="55"/>
      <c r="C75" s="27"/>
    </row>
    <row r="76" spans="1:3" ht="18.75">
      <c r="B76" s="59"/>
      <c r="C76" s="27"/>
    </row>
    <row r="77" spans="1:3" ht="18.75">
      <c r="B77" s="55"/>
      <c r="C77" s="27"/>
    </row>
    <row r="78" spans="1:3" ht="18.75">
      <c r="A78" s="33"/>
      <c r="B78" s="59"/>
      <c r="C78" s="27"/>
    </row>
    <row r="79" spans="1:3" ht="18.75">
      <c r="B79" s="55"/>
      <c r="C79" s="27"/>
    </row>
    <row r="80" spans="1:3" ht="18.75">
      <c r="B80" s="55"/>
      <c r="C80" s="27"/>
    </row>
    <row r="81" spans="1:3" ht="18.75">
      <c r="B81" s="55"/>
      <c r="C81" s="27"/>
    </row>
    <row r="82" spans="1:3" ht="18.75">
      <c r="A82" s="33"/>
      <c r="B82" s="59"/>
      <c r="C82" s="27"/>
    </row>
    <row r="83" spans="1:3" ht="18.75">
      <c r="B83" s="55"/>
      <c r="C83" s="27"/>
    </row>
    <row r="84" spans="1:3" ht="18.75">
      <c r="B84" s="55"/>
      <c r="C84" s="27"/>
    </row>
    <row r="85" spans="1:3" ht="18.75">
      <c r="B85" s="55"/>
      <c r="C85" s="27"/>
    </row>
    <row r="86" spans="1:3" ht="18.75">
      <c r="B86" s="55"/>
      <c r="C86" s="27"/>
    </row>
    <row r="87" spans="1:3" ht="18.75">
      <c r="A87" s="33"/>
      <c r="B87" s="59"/>
      <c r="C87" s="27"/>
    </row>
    <row r="88" spans="1:3" ht="18.75">
      <c r="B88" s="55"/>
      <c r="C88" s="27"/>
    </row>
    <row r="89" spans="1:3" ht="18.75">
      <c r="B89" s="55"/>
      <c r="C89" s="27"/>
    </row>
    <row r="90" spans="1:3" ht="18.75">
      <c r="B90" s="55"/>
      <c r="C90" s="27"/>
    </row>
    <row r="91" spans="1:3" ht="18.75">
      <c r="B91" s="55"/>
      <c r="C91" s="27"/>
    </row>
    <row r="92" spans="1:3" ht="18.75">
      <c r="B92" s="55"/>
      <c r="C92" s="27"/>
    </row>
    <row r="93" spans="1:3" ht="18.75">
      <c r="B93" s="71"/>
      <c r="C93" s="27"/>
    </row>
    <row r="94" spans="1:3" ht="18.75">
      <c r="B94" s="55"/>
      <c r="C94" s="27"/>
    </row>
    <row r="95" spans="1:3" ht="18.75">
      <c r="B95" s="55"/>
      <c r="C95" s="27"/>
    </row>
    <row r="96" spans="1:3">
      <c r="A96" s="33"/>
      <c r="B96" s="33"/>
      <c r="C96" s="27"/>
    </row>
    <row r="97" spans="2:3" ht="18.75">
      <c r="B97" s="55"/>
      <c r="C97" s="27"/>
    </row>
    <row r="98" spans="2:3" ht="18.75">
      <c r="B98" s="55"/>
      <c r="C98" s="27"/>
    </row>
    <row r="99" spans="2:3" ht="18.75">
      <c r="B99" s="55"/>
      <c r="C99" s="27"/>
    </row>
    <row r="100" spans="2:3" ht="18.75">
      <c r="B100" s="55"/>
      <c r="C100" s="27"/>
    </row>
    <row r="101" spans="2:3" ht="18.75">
      <c r="B101" s="71"/>
      <c r="C101" s="27"/>
    </row>
    <row r="102" spans="2:3" ht="18.75">
      <c r="B102" s="55"/>
      <c r="C102" s="27"/>
    </row>
    <row r="103" spans="2:3" ht="18.75">
      <c r="B103" s="55"/>
      <c r="C103" s="27"/>
    </row>
    <row r="104" spans="2:3" ht="18.75">
      <c r="B104" s="55"/>
      <c r="C104" s="27"/>
    </row>
    <row r="105" spans="2:3" ht="18.75">
      <c r="B105" s="71"/>
      <c r="C105" s="27"/>
    </row>
    <row r="106" spans="2:3" ht="18.75">
      <c r="B106" s="55"/>
      <c r="C106" s="27"/>
    </row>
    <row r="107" spans="2:3" ht="18.75">
      <c r="B107" s="71"/>
      <c r="C107" s="27"/>
    </row>
    <row r="108" spans="2:3" ht="18.75">
      <c r="B108" s="55"/>
      <c r="C108" s="27"/>
    </row>
    <row r="109" spans="2:3" ht="18.75">
      <c r="B109" s="71"/>
      <c r="C109" s="27"/>
    </row>
    <row r="110" spans="2:3" ht="18.75">
      <c r="B110" s="78"/>
      <c r="C110" s="27"/>
    </row>
    <row r="111" spans="2:3" ht="18.75">
      <c r="B111" s="55"/>
      <c r="C111" s="27"/>
    </row>
    <row r="112" spans="2:3" ht="18.75">
      <c r="B112" s="55"/>
      <c r="C112" s="27"/>
    </row>
    <row r="113" spans="1:3" ht="18.75">
      <c r="A113" s="80"/>
      <c r="B113" s="71"/>
      <c r="C113" s="27"/>
    </row>
    <row r="114" spans="1:3" ht="18.75">
      <c r="B114" s="78"/>
      <c r="C114" s="27"/>
    </row>
    <row r="115" spans="1:3" ht="18.75">
      <c r="B115" s="78"/>
      <c r="C115" s="27"/>
    </row>
    <row r="116" spans="1:3" ht="18.75">
      <c r="B116" s="78"/>
      <c r="C116" s="27"/>
    </row>
    <row r="117" spans="1:3" ht="18.75">
      <c r="B117" s="78"/>
      <c r="C117" s="27"/>
    </row>
    <row r="119" spans="1:3">
      <c r="C119" s="27"/>
    </row>
    <row r="120" spans="1:3">
      <c r="C120" s="27"/>
    </row>
    <row r="121" spans="1:3">
      <c r="C121" s="27"/>
    </row>
    <row r="122" spans="1:3">
      <c r="C122" s="27"/>
    </row>
    <row r="123" spans="1:3">
      <c r="C123" s="27"/>
    </row>
    <row r="124" spans="1:3">
      <c r="C124" s="27"/>
    </row>
    <row r="125" spans="1:3">
      <c r="C125" s="27"/>
    </row>
    <row r="126" spans="1:3">
      <c r="C126" s="27"/>
    </row>
    <row r="127" spans="1:3">
      <c r="C127" s="27"/>
    </row>
    <row r="128" spans="1:3">
      <c r="C128" s="27"/>
    </row>
    <row r="129" spans="2:4">
      <c r="C129" s="27"/>
    </row>
    <row r="135" spans="2:4" ht="18.75">
      <c r="B135" s="56" t="s">
        <v>22</v>
      </c>
      <c r="C135" s="57">
        <f>SUM(C4:C116)</f>
        <v>0</v>
      </c>
      <c r="D135" s="33" t="s">
        <v>23</v>
      </c>
    </row>
    <row r="136" spans="2:4" ht="18.75">
      <c r="B136" s="56" t="s">
        <v>24</v>
      </c>
      <c r="C136" s="58">
        <f>C135/5</f>
        <v>0</v>
      </c>
      <c r="D136" s="33" t="s">
        <v>25</v>
      </c>
    </row>
  </sheetData>
  <mergeCells count="5">
    <mergeCell ref="D1:D2"/>
    <mergeCell ref="E1:E2"/>
    <mergeCell ref="B1:B2"/>
    <mergeCell ref="A1:A2"/>
    <mergeCell ref="C1:C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8" operator="containsText" id="{36D13FD4-4463-4196-8786-34D722072B7B}">
            <xm:f>NOT(ISERROR(SEARCH(Datasheet!$A$1,D3)))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7" operator="containsText" id="{860DB9EC-FB13-4A5B-BE52-D3CB97CBC0A0}">
            <xm:f>NOT(ISERROR(SEARCH(Datasheet!$A$2,D3)))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6" operator="containsText" id="{34779899-592C-495E-9F0A-7131CC0C205C}">
            <xm:f>NOT(ISERROR(SEARCH(Datasheet!$A$3,D3)))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5" operator="containsText" id="{B7D8E314-DDDC-4003-ABC1-4014E6F8F20F}">
            <xm:f>NOT(ISERROR(SEARCH(Datasheet!$A$4,D3)))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D3:D34</xm:sqref>
        </x14:conditionalFormatting>
        <x14:conditionalFormatting xmlns:xm="http://schemas.microsoft.com/office/excel/2006/main">
          <x14:cfRule type="containsText" priority="184" operator="containsText" id="{3F520268-37DE-4DBE-B9E0-C0BB78E06880}">
            <xm:f>NOT(ISERROR(SEARCH(Datasheet!$A$1,D36)))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3" operator="containsText" id="{7C024FB1-00EC-4E4B-9E7E-669A8EBAF85B}">
            <xm:f>NOT(ISERROR(SEARCH(Datasheet!$A$2,D36)))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2" operator="containsText" id="{BA20AA1A-06E5-4AB5-A7E3-773DD5E1DCF6}">
            <xm:f>NOT(ISERROR(SEARCH(Datasheet!$A$3,D36)))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1" operator="containsText" id="{15F194E0-6B8A-4E49-B26D-FBB054ABD4A3}">
            <xm:f>NOT(ISERROR(SEARCH(Datasheet!$A$4,D36)))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ontainsText" priority="180" operator="containsText" id="{085022FD-4D5E-47AD-8081-FCB40B1E92D9}">
            <xm:f>NOT(ISERROR(SEARCH(Datasheet!$A$1,D38)))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9" operator="containsText" id="{D7F5424B-3247-4F01-BFC1-2D4EDDCAF14E}">
            <xm:f>NOT(ISERROR(SEARCH(Datasheet!$A$2,D38)))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8" operator="containsText" id="{30EF2137-A40D-4F7F-8397-CCFFEFF7765B}">
            <xm:f>NOT(ISERROR(SEARCH(Datasheet!$A$3,D38)))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7" operator="containsText" id="{E90DF2BD-C024-4A63-B557-0935C9CA5320}">
            <xm:f>NOT(ISERROR(SEARCH(Datasheet!$A$4,D38)))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ontainsText" priority="176" operator="containsText" id="{53AE83CA-6DD0-43DE-9C7D-77AB02D48A62}">
            <xm:f>NOT(ISERROR(SEARCH(Datasheet!$A$1,D39)))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5" operator="containsText" id="{365BE713-13E3-4F9D-B2E1-E12C1E62680A}">
            <xm:f>NOT(ISERROR(SEARCH(Datasheet!$A$2,D39)))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4" operator="containsText" id="{EFE0405E-638B-4457-8802-FD5217C3E842}">
            <xm:f>NOT(ISERROR(SEARCH(Datasheet!$A$3,D39)))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3" operator="containsText" id="{6BFFC6EA-2DB4-4D89-BCB9-C5464F103BDD}">
            <xm:f>NOT(ISERROR(SEARCH(Datasheet!$A$4,D39)))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ontainsText" priority="172" operator="containsText" id="{CD34F261-56B7-4D77-9F53-D3F1C77E9ABE}">
            <xm:f>NOT(ISERROR(SEARCH(Datasheet!$A$1,D40)))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71" operator="containsText" id="{AF952128-F58B-4DEC-92D9-F54670BE4BC4}">
            <xm:f>NOT(ISERROR(SEARCH(Datasheet!$A$2,D40)))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70" operator="containsText" id="{A5E36915-AF9B-4612-B429-D15D63F6744D}">
            <xm:f>NOT(ISERROR(SEARCH(Datasheet!$A$3,D40)))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69" operator="containsText" id="{2F913CFB-7352-4B16-AF01-B44CB804E99A}">
            <xm:f>NOT(ISERROR(SEARCH(Datasheet!$A$4,D40)))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168" operator="containsText" id="{ADDE0CE8-8918-4385-A4D0-86BE05C3F15E}">
            <xm:f>NOT(ISERROR(SEARCH(Datasheet!$A$1,D41)))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7" operator="containsText" id="{1681C525-43E3-432C-8E8D-2B00A141B049}">
            <xm:f>NOT(ISERROR(SEARCH(Datasheet!$A$2,D41)))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6" operator="containsText" id="{4D1605B3-6F02-40C6-A9CE-CE04A31A68EA}">
            <xm:f>NOT(ISERROR(SEARCH(Datasheet!$A$3,D41)))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5" operator="containsText" id="{4E09EFB3-417A-4853-8CED-A0CD9AA05139}">
            <xm:f>NOT(ISERROR(SEARCH(Datasheet!$A$4,D41)))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D41</xm:sqref>
        </x14:conditionalFormatting>
        <x14:conditionalFormatting xmlns:xm="http://schemas.microsoft.com/office/excel/2006/main">
          <x14:cfRule type="containsText" priority="164" operator="containsText" id="{2EE6A5CF-8E9B-4FF7-B610-778B475A9E92}">
            <xm:f>NOT(ISERROR(SEARCH(Datasheet!$A$1,D43)))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3" operator="containsText" id="{E3E2D3A4-7113-4925-BE38-C958AD7094BE}">
            <xm:f>NOT(ISERROR(SEARCH(Datasheet!$A$2,D43)))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2" operator="containsText" id="{B1C972BF-FBA4-4DC5-AEA3-945DACC10AAD}">
            <xm:f>NOT(ISERROR(SEARCH(Datasheet!$A$3,D43)))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1" operator="containsText" id="{7A19843C-D6A9-4C6A-A75F-BA417CDD6183}">
            <xm:f>NOT(ISERROR(SEARCH(Datasheet!$A$4,D43)))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D43:D45</xm:sqref>
        </x14:conditionalFormatting>
        <x14:conditionalFormatting xmlns:xm="http://schemas.microsoft.com/office/excel/2006/main">
          <x14:cfRule type="containsText" priority="160" operator="containsText" id="{87C89FB7-3315-4099-8C36-56CDFD33F3CB}">
            <xm:f>NOT(ISERROR(SEARCH(Datasheet!$A$1,D47)))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9" operator="containsText" id="{BFA5CDE4-8F37-4D93-BC93-C8055DA0BC6C}">
            <xm:f>NOT(ISERROR(SEARCH(Datasheet!$A$2,D47)))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8" operator="containsText" id="{BEFFA3DC-93AB-435E-BA6C-A9D7D0024E70}">
            <xm:f>NOT(ISERROR(SEARCH(Datasheet!$A$3,D47)))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7" operator="containsText" id="{86544202-5A7A-473F-900B-2F7F37C90D69}">
            <xm:f>NOT(ISERROR(SEARCH(Datasheet!$A$4,D47)))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D47:D54</xm:sqref>
        </x14:conditionalFormatting>
        <x14:conditionalFormatting xmlns:xm="http://schemas.microsoft.com/office/excel/2006/main">
          <x14:cfRule type="containsText" priority="152" operator="containsText" id="{85A223D4-21AC-4C74-AF38-FC1F5D3742D6}">
            <xm:f>NOT(ISERROR(SEARCH(Datasheet!$A$1,D56)))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51" operator="containsText" id="{2739373A-365B-4C1C-964A-0FC664503748}">
            <xm:f>NOT(ISERROR(SEARCH(Datasheet!$A$2,D56)))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50" operator="containsText" id="{3DCE2CB0-56C2-46AF-AAB1-9C9CB371E76E}">
            <xm:f>NOT(ISERROR(SEARCH(Datasheet!$A$3,D56)))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49" operator="containsText" id="{1C9F9990-35F4-434B-BF56-A173F5C44C03}">
            <xm:f>NOT(ISERROR(SEARCH(Datasheet!$A$4,D56)))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D56</xm:sqref>
        </x14:conditionalFormatting>
        <x14:conditionalFormatting xmlns:xm="http://schemas.microsoft.com/office/excel/2006/main">
          <x14:cfRule type="containsText" priority="148" operator="containsText" id="{6202DA18-9631-415A-AA0A-B1E340715E91}">
            <xm:f>NOT(ISERROR(SEARCH(Datasheet!$A$1,D57)))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7" operator="containsText" id="{BD0DE855-F911-48DB-A7BA-C53742852B1A}">
            <xm:f>NOT(ISERROR(SEARCH(Datasheet!$A$2,D57)))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6" operator="containsText" id="{ACED538B-8DDC-4E48-B506-3439D337852A}">
            <xm:f>NOT(ISERROR(SEARCH(Datasheet!$A$3,D57)))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5" operator="containsText" id="{34B0919D-66B9-48F2-A582-80222F937E6C}">
            <xm:f>NOT(ISERROR(SEARCH(Datasheet!$A$4,D57)))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D57</xm:sqref>
        </x14:conditionalFormatting>
        <x14:conditionalFormatting xmlns:xm="http://schemas.microsoft.com/office/excel/2006/main">
          <x14:cfRule type="containsText" priority="144" operator="containsText" id="{D0456A3C-723E-4D95-963F-7A44DA01A620}">
            <xm:f>NOT(ISERROR(SEARCH(Datasheet!$A$1,D59)))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3" operator="containsText" id="{E95D0AEF-042D-415F-B902-D25B0C37B5AF}">
            <xm:f>NOT(ISERROR(SEARCH(Datasheet!$A$2,D59)))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2" operator="containsText" id="{63255627-BDAC-455C-BC4D-A5EBB2E53ABD}">
            <xm:f>NOT(ISERROR(SEARCH(Datasheet!$A$3,D59)))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1" operator="containsText" id="{655F2588-01AB-42E2-896E-90A1DCEDB22D}">
            <xm:f>NOT(ISERROR(SEARCH(Datasheet!$A$4,D59)))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D59</xm:sqref>
        </x14:conditionalFormatting>
        <x14:conditionalFormatting xmlns:xm="http://schemas.microsoft.com/office/excel/2006/main">
          <x14:cfRule type="containsText" priority="140" operator="containsText" id="{AE58D849-392B-4E89-8E02-65D272944FFD}">
            <xm:f>NOT(ISERROR(SEARCH(Datasheet!$A$1,D61)))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9" operator="containsText" id="{3FC6673E-1E2D-4778-9894-9915EA6FFD1A}">
            <xm:f>NOT(ISERROR(SEARCH(Datasheet!$A$2,D61)))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8" operator="containsText" id="{B3862E75-DDE0-4AEA-BADD-66775B28EB9E}">
            <xm:f>NOT(ISERROR(SEARCH(Datasheet!$A$3,D61)))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7" operator="containsText" id="{68AAC74F-EBA0-4201-B108-7B82BB2DCD04}">
            <xm:f>NOT(ISERROR(SEARCH(Datasheet!$A$4,D61)))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D61</xm:sqref>
        </x14:conditionalFormatting>
        <x14:conditionalFormatting xmlns:xm="http://schemas.microsoft.com/office/excel/2006/main">
          <x14:cfRule type="containsText" priority="136" operator="containsText" id="{779BA876-6995-4B72-AE9A-0DF22A294B74}">
            <xm:f>NOT(ISERROR(SEARCH(Datasheet!$A$1,D63)))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5" operator="containsText" id="{3763FC7A-4F52-4014-B7B9-031CF8A45472}">
            <xm:f>NOT(ISERROR(SEARCH(Datasheet!$A$2,D63)))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4" operator="containsText" id="{EC52D8F5-B972-4713-93FE-AB92CAAC2876}">
            <xm:f>NOT(ISERROR(SEARCH(Datasheet!$A$3,D63)))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3" operator="containsText" id="{F80A00CB-59BA-4ACB-A5A0-71A51E2DE6C0}">
            <xm:f>NOT(ISERROR(SEARCH(Datasheet!$A$4,D63)))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D63</xm:sqref>
        </x14:conditionalFormatting>
        <x14:conditionalFormatting xmlns:xm="http://schemas.microsoft.com/office/excel/2006/main">
          <x14:cfRule type="containsText" priority="132" operator="containsText" id="{3564D9C3-8332-41CC-9DDE-96047307D628}">
            <xm:f>NOT(ISERROR(SEARCH(Datasheet!$A$1,D64)))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31" operator="containsText" id="{D9329FAD-DEE4-4F10-B84E-4C09DE02BA58}">
            <xm:f>NOT(ISERROR(SEARCH(Datasheet!$A$2,D64)))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30" operator="containsText" id="{C70E05FB-1EA9-44EA-9061-F0B300D3E733}">
            <xm:f>NOT(ISERROR(SEARCH(Datasheet!$A$3,D64)))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29" operator="containsText" id="{7145BA8F-E003-49F7-B563-EBC469E48B48}">
            <xm:f>NOT(ISERROR(SEARCH(Datasheet!$A$4,D64)))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D64:D68</xm:sqref>
        </x14:conditionalFormatting>
        <x14:conditionalFormatting xmlns:xm="http://schemas.microsoft.com/office/excel/2006/main">
          <x14:cfRule type="containsText" priority="128" operator="containsText" id="{29A70004-CF03-413C-AA63-5E452D0F5EBB}">
            <xm:f>NOT(ISERROR(SEARCH(Datasheet!$A$1,D70)))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7" operator="containsText" id="{48DA0AFC-93A7-4E00-A9DE-887F19D633FC}">
            <xm:f>NOT(ISERROR(SEARCH(Datasheet!$A$2,D70)))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6" operator="containsText" id="{C3D5A491-5137-44D9-9CF8-D35A534D1BA4}">
            <xm:f>NOT(ISERROR(SEARCH(Datasheet!$A$3,D70)))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5" operator="containsText" id="{A1E370F2-80D4-49C7-AE7F-51DD3188F066}">
            <xm:f>NOT(ISERROR(SEARCH(Datasheet!$A$4,D70)))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D70</xm:sqref>
        </x14:conditionalFormatting>
        <x14:conditionalFormatting xmlns:xm="http://schemas.microsoft.com/office/excel/2006/main">
          <x14:cfRule type="containsText" priority="124" operator="containsText" id="{7C10356E-BF57-4939-A50C-D568EC322A0E}">
            <xm:f>NOT(ISERROR(SEARCH(Datasheet!$A$1,D71)))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3" operator="containsText" id="{FA688EA2-EA97-4239-8821-501541E8053F}">
            <xm:f>NOT(ISERROR(SEARCH(Datasheet!$A$2,D71)))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2" operator="containsText" id="{3ACB2DD2-A835-4190-918B-44104334040B}">
            <xm:f>NOT(ISERROR(SEARCH(Datasheet!$A$3,D71)))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1" operator="containsText" id="{0DBE693C-6D88-488F-BD2F-BF8723451206}">
            <xm:f>NOT(ISERROR(SEARCH(Datasheet!$A$4,D71)))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D71</xm:sqref>
        </x14:conditionalFormatting>
        <x14:conditionalFormatting xmlns:xm="http://schemas.microsoft.com/office/excel/2006/main">
          <x14:cfRule type="containsText" priority="120" operator="containsText" id="{53692BF6-C92C-463E-B05A-D0559CF0E975}">
            <xm:f>NOT(ISERROR(SEARCH(Datasheet!$A$1,D73)))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9" operator="containsText" id="{0FF50ADA-749C-4BBC-8CC0-85C1E78BD64E}">
            <xm:f>NOT(ISERROR(SEARCH(Datasheet!$A$2,D73)))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8" operator="containsText" id="{2D27EC78-75AF-4CD5-9987-666EB91F7C8A}">
            <xm:f>NOT(ISERROR(SEARCH(Datasheet!$A$3,D73)))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7" operator="containsText" id="{997A8D89-D3C6-4EC5-8F69-612E0F811CE1}">
            <xm:f>NOT(ISERROR(SEARCH(Datasheet!$A$4,D73)))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D73</xm:sqref>
        </x14:conditionalFormatting>
        <x14:conditionalFormatting xmlns:xm="http://schemas.microsoft.com/office/excel/2006/main">
          <x14:cfRule type="containsText" priority="116" operator="containsText" id="{E839DB7E-1D14-4E5D-A2BA-B1D95E7ACE0D}">
            <xm:f>NOT(ISERROR(SEARCH(Datasheet!$A$1,D75)))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5" operator="containsText" id="{9A582145-6D2E-4E01-ABBF-71D201F7E8A6}">
            <xm:f>NOT(ISERROR(SEARCH(Datasheet!$A$2,D75)))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4" operator="containsText" id="{2E0D9470-BCDE-4236-BC8B-5FE7BAB8EA77}">
            <xm:f>NOT(ISERROR(SEARCH(Datasheet!$A$3,D75)))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3" operator="containsText" id="{6D84153C-81F6-40EF-BFCC-0D80BF0880A6}">
            <xm:f>NOT(ISERROR(SEARCH(Datasheet!$A$4,D75)))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D75</xm:sqref>
        </x14:conditionalFormatting>
        <x14:conditionalFormatting xmlns:xm="http://schemas.microsoft.com/office/excel/2006/main">
          <x14:cfRule type="containsText" priority="112" operator="containsText" id="{316FCC1E-A9B3-4505-920F-2A5C2FF70AC2}">
            <xm:f>NOT(ISERROR(SEARCH(Datasheet!$A$1,D77)))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11" operator="containsText" id="{5D28C6B0-D0AD-451F-8BD5-8B7407C5EC3F}">
            <xm:f>NOT(ISERROR(SEARCH(Datasheet!$A$2,D77)))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10" operator="containsText" id="{1451DC4D-4C39-4639-A3D5-AE40D01032BB}">
            <xm:f>NOT(ISERROR(SEARCH(Datasheet!$A$3,D77)))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09" operator="containsText" id="{D93C492D-AFCA-41CA-BB86-1A96E6352087}">
            <xm:f>NOT(ISERROR(SEARCH(Datasheet!$A$4,D77)))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D77</xm:sqref>
        </x14:conditionalFormatting>
        <x14:conditionalFormatting xmlns:xm="http://schemas.microsoft.com/office/excel/2006/main">
          <x14:cfRule type="containsText" priority="108" operator="containsText" id="{E12EE3D4-CF72-4673-923A-4A022F6B134B}">
            <xm:f>NOT(ISERROR(SEARCH(Datasheet!$A$1,D79)))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7" operator="containsText" id="{57EF94C5-820A-4480-893B-4D857FCF58CB}">
            <xm:f>NOT(ISERROR(SEARCH(Datasheet!$A$2,D79)))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6" operator="containsText" id="{D4CC0CFF-8E5C-40AA-A6A8-A660E8B62BC0}">
            <xm:f>NOT(ISERROR(SEARCH(Datasheet!$A$3,D79)))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5" operator="containsText" id="{02CABBCE-EBC2-4CB8-96FF-BF621EF7609D}">
            <xm:f>NOT(ISERROR(SEARCH(Datasheet!$A$4,D79)))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D79</xm:sqref>
        </x14:conditionalFormatting>
        <x14:conditionalFormatting xmlns:xm="http://schemas.microsoft.com/office/excel/2006/main">
          <x14:cfRule type="containsText" priority="104" operator="containsText" id="{9AF554FD-1D54-4593-8FDE-F253D6FA6649}">
            <xm:f>NOT(ISERROR(SEARCH(Datasheet!$A$1,D80)))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3" operator="containsText" id="{D1E5AEA3-01F7-4A08-AF88-4268FF957406}">
            <xm:f>NOT(ISERROR(SEARCH(Datasheet!$A$2,D80)))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2" operator="containsText" id="{02B9A3B5-09BF-44CE-B2FF-844AAA8C37FE}">
            <xm:f>NOT(ISERROR(SEARCH(Datasheet!$A$3,D80)))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1" operator="containsText" id="{5500672B-4CDF-4126-B458-EFB334C28438}">
            <xm:f>NOT(ISERROR(SEARCH(Datasheet!$A$4,D80)))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D80</xm:sqref>
        </x14:conditionalFormatting>
        <x14:conditionalFormatting xmlns:xm="http://schemas.microsoft.com/office/excel/2006/main">
          <x14:cfRule type="containsText" priority="100" operator="containsText" id="{5E180BB2-8C23-45FC-9BB5-299933B2D709}">
            <xm:f>NOT(ISERROR(SEARCH(Datasheet!$A$1,D81)))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9" operator="containsText" id="{806F1CB9-EFB9-40BA-9537-9A572AE83BDB}">
            <xm:f>NOT(ISERROR(SEARCH(Datasheet!$A$2,D81)))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8" operator="containsText" id="{C9287A24-C879-4DD9-A9A8-CAFF45847E34}">
            <xm:f>NOT(ISERROR(SEARCH(Datasheet!$A$3,D81)))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7" operator="containsText" id="{E4B8DA8E-E329-45D2-8F33-FC2659A16454}">
            <xm:f>NOT(ISERROR(SEARCH(Datasheet!$A$4,D81)))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D81</xm:sqref>
        </x14:conditionalFormatting>
        <x14:conditionalFormatting xmlns:xm="http://schemas.microsoft.com/office/excel/2006/main">
          <x14:cfRule type="containsText" priority="96" operator="containsText" id="{8B28DE07-C5AA-47C0-9961-3AD345A18970}">
            <xm:f>NOT(ISERROR(SEARCH(Datasheet!$A$1,D83)))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5" operator="containsText" id="{7E6C93E4-2B92-4B91-B879-A901128A9B62}">
            <xm:f>NOT(ISERROR(SEARCH(Datasheet!$A$2,D83)))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4" operator="containsText" id="{DE65E715-BE50-4F3C-9A4C-436BB412A1DA}">
            <xm:f>NOT(ISERROR(SEARCH(Datasheet!$A$3,D83)))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3" operator="containsText" id="{9C8A3C61-7081-4AA4-9F39-0E4E22C93845}">
            <xm:f>NOT(ISERROR(SEARCH(Datasheet!$A$4,D83)))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D83</xm:sqref>
        </x14:conditionalFormatting>
        <x14:conditionalFormatting xmlns:xm="http://schemas.microsoft.com/office/excel/2006/main">
          <x14:cfRule type="containsText" priority="92" operator="containsText" id="{01B49AC3-0058-4A79-A864-7C79A992FD03}">
            <xm:f>NOT(ISERROR(SEARCH(Datasheet!$A$1,D84)))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91" operator="containsText" id="{6B22A368-8082-4F21-91D0-3AA0CCC41A6F}">
            <xm:f>NOT(ISERROR(SEARCH(Datasheet!$A$2,D84)))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90" operator="containsText" id="{E2CF03F9-3732-4FB5-A017-64D941AFB38F}">
            <xm:f>NOT(ISERROR(SEARCH(Datasheet!$A$3,D84)))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89" operator="containsText" id="{FBE2258A-E0F5-49EF-9716-5E7678CF45FF}">
            <xm:f>NOT(ISERROR(SEARCH(Datasheet!$A$4,D84)))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D84</xm:sqref>
        </x14:conditionalFormatting>
        <x14:conditionalFormatting xmlns:xm="http://schemas.microsoft.com/office/excel/2006/main">
          <x14:cfRule type="containsText" priority="88" operator="containsText" id="{99816718-5D07-46EF-8A2D-3FF24A915D8D}">
            <xm:f>NOT(ISERROR(SEARCH(Datasheet!$A$1,D85)))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7" operator="containsText" id="{5F003971-C715-4D3A-BF0D-176A5D98EBE3}">
            <xm:f>NOT(ISERROR(SEARCH(Datasheet!$A$2,D85)))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6" operator="containsText" id="{45905C8F-9149-4145-A617-3E931144F677}">
            <xm:f>NOT(ISERROR(SEARCH(Datasheet!$A$3,D85)))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5" operator="containsText" id="{DBE67CBD-9D80-49F2-94C8-301EBDCE0462}">
            <xm:f>NOT(ISERROR(SEARCH(Datasheet!$A$4,D85)))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D85</xm:sqref>
        </x14:conditionalFormatting>
        <x14:conditionalFormatting xmlns:xm="http://schemas.microsoft.com/office/excel/2006/main">
          <x14:cfRule type="containsText" priority="84" operator="containsText" id="{484C9C0A-4E90-40FE-9585-587DEAD95072}">
            <xm:f>NOT(ISERROR(SEARCH(Datasheet!$A$1,D86)))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3" operator="containsText" id="{1D3DD347-F50C-4AAE-A824-6F11440ED962}">
            <xm:f>NOT(ISERROR(SEARCH(Datasheet!$A$2,D86)))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2" operator="containsText" id="{66E8C94B-DF96-412A-B052-57B3C30BB56A}">
            <xm:f>NOT(ISERROR(SEARCH(Datasheet!$A$3,D86)))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1" operator="containsText" id="{A6F6317C-63B9-4C6B-8BF2-5402A1908DE7}">
            <xm:f>NOT(ISERROR(SEARCH(Datasheet!$A$4,D86)))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D86</xm:sqref>
        </x14:conditionalFormatting>
        <x14:conditionalFormatting xmlns:xm="http://schemas.microsoft.com/office/excel/2006/main">
          <x14:cfRule type="containsText" priority="80" operator="containsText" id="{7407F2BF-F88B-4B24-8EC3-97DEED19AEB2}">
            <xm:f>NOT(ISERROR(SEARCH(Datasheet!$A$1,D88)))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9" operator="containsText" id="{F1753516-E763-4C7F-914C-C2B54F5AD480}">
            <xm:f>NOT(ISERROR(SEARCH(Datasheet!$A$2,D88)))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8" operator="containsText" id="{88AB4396-2BD9-4EAC-B5C8-16109DA13089}">
            <xm:f>NOT(ISERROR(SEARCH(Datasheet!$A$3,D88)))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7" operator="containsText" id="{0BAD8555-8F44-49FB-A3CF-E626426303BA}">
            <xm:f>NOT(ISERROR(SEARCH(Datasheet!$A$4,D88)))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D88</xm:sqref>
        </x14:conditionalFormatting>
        <x14:conditionalFormatting xmlns:xm="http://schemas.microsoft.com/office/excel/2006/main">
          <x14:cfRule type="containsText" priority="76" operator="containsText" id="{E252E962-DD38-4298-B80B-6D2CEA14228A}">
            <xm:f>NOT(ISERROR(SEARCH(Datasheet!$A$1,D89)))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5" operator="containsText" id="{BD7C9D28-AC3D-4035-B981-03917F219A6D}">
            <xm:f>NOT(ISERROR(SEARCH(Datasheet!$A$2,D89)))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4" operator="containsText" id="{35F299DB-60AF-43C3-8087-EA8DCF4AA065}">
            <xm:f>NOT(ISERROR(SEARCH(Datasheet!$A$3,D89)))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3" operator="containsText" id="{F2312A9B-13FA-4383-922E-FE861B1C3648}">
            <xm:f>NOT(ISERROR(SEARCH(Datasheet!$A$4,D89)))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D89:D92</xm:sqref>
        </x14:conditionalFormatting>
        <x14:conditionalFormatting xmlns:xm="http://schemas.microsoft.com/office/excel/2006/main">
          <x14:cfRule type="containsText" priority="72" operator="containsText" id="{07DF9F58-9471-46B4-A86D-DAFFDC63F269}">
            <xm:f>NOT(ISERROR(SEARCH(Datasheet!$A$1,D94)))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71" operator="containsText" id="{3C2DA654-788D-421F-B54E-3977D2C3DA84}">
            <xm:f>NOT(ISERROR(SEARCH(Datasheet!$A$2,D94)))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70" operator="containsText" id="{8FD6F3FD-CA0A-4D86-A488-EE2BFD7C5204}">
            <xm:f>NOT(ISERROR(SEARCH(Datasheet!$A$3,D94)))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69" operator="containsText" id="{071B7F2D-4D1C-4F15-9E75-17B90FCCE842}">
            <xm:f>NOT(ISERROR(SEARCH(Datasheet!$A$4,D94)))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D94</xm:sqref>
        </x14:conditionalFormatting>
        <x14:conditionalFormatting xmlns:xm="http://schemas.microsoft.com/office/excel/2006/main">
          <x14:cfRule type="containsText" priority="68" operator="containsText" id="{A1593CC6-E6B3-4109-A22B-5848C0459034}">
            <xm:f>NOT(ISERROR(SEARCH(Datasheet!$A$1,D95)))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7" operator="containsText" id="{2560BD2D-4E93-45AF-917A-E4E6DCECED79}">
            <xm:f>NOT(ISERROR(SEARCH(Datasheet!$A$2,D95)))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6" operator="containsText" id="{EC234C48-81EF-4910-9883-4A4813C7A778}">
            <xm:f>NOT(ISERROR(SEARCH(Datasheet!$A$3,D95)))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5" operator="containsText" id="{CA309265-7280-47E1-9856-170C728F0554}">
            <xm:f>NOT(ISERROR(SEARCH(Datasheet!$A$4,D95)))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D95</xm:sqref>
        </x14:conditionalFormatting>
        <x14:conditionalFormatting xmlns:xm="http://schemas.microsoft.com/office/excel/2006/main">
          <x14:cfRule type="containsText" priority="64" operator="containsText" id="{2B22B087-CA3D-411D-86C7-3971F5DD16FC}">
            <xm:f>NOT(ISERROR(SEARCH(Datasheet!$A$1,D97)))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3" operator="containsText" id="{6F9E9AEB-C71C-4F23-934B-1CD2186F1045}">
            <xm:f>NOT(ISERROR(SEARCH(Datasheet!$A$2,D97)))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2" operator="containsText" id="{D6FDAC24-C2C4-4AD6-95E5-EC5DD505D18E}">
            <xm:f>NOT(ISERROR(SEARCH(Datasheet!$A$3,D97)))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1" operator="containsText" id="{E83D52AF-538B-46E0-8D4C-8510C8E289A9}">
            <xm:f>NOT(ISERROR(SEARCH(Datasheet!$A$4,D97)))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D97</xm:sqref>
        </x14:conditionalFormatting>
        <x14:conditionalFormatting xmlns:xm="http://schemas.microsoft.com/office/excel/2006/main">
          <x14:cfRule type="containsText" priority="60" operator="containsText" id="{4B3B9560-54B1-4633-8288-D73F841C82CD}">
            <xm:f>NOT(ISERROR(SEARCH(Datasheet!$A$1,D98)))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9" operator="containsText" id="{818D3BFD-CED1-42AE-977D-6D38D394F416}">
            <xm:f>NOT(ISERROR(SEARCH(Datasheet!$A$2,D98)))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8" operator="containsText" id="{1367F1D5-A98D-4146-80FA-33B613F0AF7F}">
            <xm:f>NOT(ISERROR(SEARCH(Datasheet!$A$3,D98)))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7" operator="containsText" id="{BAD97572-51CD-41C2-886F-0DE16C69A12E}">
            <xm:f>NOT(ISERROR(SEARCH(Datasheet!$A$4,D98)))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D98</xm:sqref>
        </x14:conditionalFormatting>
        <x14:conditionalFormatting xmlns:xm="http://schemas.microsoft.com/office/excel/2006/main">
          <x14:cfRule type="containsText" priority="56" operator="containsText" id="{AEC8A39A-5599-47FE-B8E6-3C71CFBB3C38}">
            <xm:f>NOT(ISERROR(SEARCH(Datasheet!$A$1,D99)))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5" operator="containsText" id="{3DE059E1-E24B-4C47-8633-84DC49F548DC}">
            <xm:f>NOT(ISERROR(SEARCH(Datasheet!$A$2,D99)))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4" operator="containsText" id="{3E335DEC-4925-4C00-802F-18C5FA2B7AAD}">
            <xm:f>NOT(ISERROR(SEARCH(Datasheet!$A$3,D99)))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3" operator="containsText" id="{CB2F8BCA-B0F1-4822-9584-0CBCBF47B590}">
            <xm:f>NOT(ISERROR(SEARCH(Datasheet!$A$4,D99)))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D99</xm:sqref>
        </x14:conditionalFormatting>
        <x14:conditionalFormatting xmlns:xm="http://schemas.microsoft.com/office/excel/2006/main">
          <x14:cfRule type="containsText" priority="52" operator="containsText" id="{C7B48FC8-012A-46B7-AAEA-0635BE5B6A47}">
            <xm:f>NOT(ISERROR(SEARCH(Datasheet!$A$1,D100)))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51" operator="containsText" id="{A6656C27-4722-414A-A1A1-E9A74B513025}">
            <xm:f>NOT(ISERROR(SEARCH(Datasheet!$A$2,D100)))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50" operator="containsText" id="{68F46951-2235-4D7C-BDBE-D7766CA91B9F}">
            <xm:f>NOT(ISERROR(SEARCH(Datasheet!$A$3,D100)))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49" operator="containsText" id="{246108C8-239F-49B9-B583-25AE9EAB8C0E}">
            <xm:f>NOT(ISERROR(SEARCH(Datasheet!$A$4,D100)))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containsText" priority="48" operator="containsText" id="{F7D955C6-2675-4A4F-BB15-9B20BB1DF564}">
            <xm:f>NOT(ISERROR(SEARCH(Datasheet!$A$1,D102)))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7" operator="containsText" id="{35DAB8AF-8B92-47D2-8125-81AE8270A301}">
            <xm:f>NOT(ISERROR(SEARCH(Datasheet!$A$2,D102)))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6" operator="containsText" id="{37544800-A018-403B-8395-D79182B12AC6}">
            <xm:f>NOT(ISERROR(SEARCH(Datasheet!$A$3,D102)))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5" operator="containsText" id="{2D803D59-4BA9-4FB0-ADAD-D30E702E0E60}">
            <xm:f>NOT(ISERROR(SEARCH(Datasheet!$A$4,D102)))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D102</xm:sqref>
        </x14:conditionalFormatting>
        <x14:conditionalFormatting xmlns:xm="http://schemas.microsoft.com/office/excel/2006/main">
          <x14:cfRule type="containsText" priority="44" operator="containsText" id="{BAAC59C3-084B-4A08-81BC-C2DE312382DE}">
            <xm:f>NOT(ISERROR(SEARCH(Datasheet!$A$1,D103)))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3" operator="containsText" id="{C50E56A3-4D75-4D2F-BB3C-66E285173E08}">
            <xm:f>NOT(ISERROR(SEARCH(Datasheet!$A$2,D103)))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2" operator="containsText" id="{E973B404-52B5-4C02-8924-E394DE82015F}">
            <xm:f>NOT(ISERROR(SEARCH(Datasheet!$A$3,D103)))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1" operator="containsText" id="{6E3F8179-FA0D-409F-8C36-D793ECF707AB}">
            <xm:f>NOT(ISERROR(SEARCH(Datasheet!$A$4,D103)))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D103</xm:sqref>
        </x14:conditionalFormatting>
        <x14:conditionalFormatting xmlns:xm="http://schemas.microsoft.com/office/excel/2006/main">
          <x14:cfRule type="containsText" priority="40" operator="containsText" id="{820D713C-C498-486C-B959-EE8222C2415C}">
            <xm:f>NOT(ISERROR(SEARCH(Datasheet!$A$1,D104)))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9" operator="containsText" id="{1B7E7C2C-4575-4A71-A4CD-E441A911786D}">
            <xm:f>NOT(ISERROR(SEARCH(Datasheet!$A$2,D104)))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8" operator="containsText" id="{C49E68AF-E7BF-4D7C-8233-874B6C9AFF43}">
            <xm:f>NOT(ISERROR(SEARCH(Datasheet!$A$3,D104)))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7" operator="containsText" id="{3854FFA8-BD3B-4FC9-98B5-D312850266B5}">
            <xm:f>NOT(ISERROR(SEARCH(Datasheet!$A$4,D104)))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D104</xm:sqref>
        </x14:conditionalFormatting>
        <x14:conditionalFormatting xmlns:xm="http://schemas.microsoft.com/office/excel/2006/main">
          <x14:cfRule type="containsText" priority="36" operator="containsText" id="{ED7982A4-D76E-4177-AE1C-BA6E7D1885DF}">
            <xm:f>NOT(ISERROR(SEARCH(Datasheet!$A$1,D106)))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5" operator="containsText" id="{69AF26EC-812A-48C0-B38C-F3B9DEC0F5A4}">
            <xm:f>NOT(ISERROR(SEARCH(Datasheet!$A$2,D106)))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4" operator="containsText" id="{46DE06B3-B0D7-4DF7-9DC1-FCFBB5179AC6}">
            <xm:f>NOT(ISERROR(SEARCH(Datasheet!$A$3,D106)))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3" operator="containsText" id="{5A570BFB-E7A0-47F2-9B69-250C3358AB13}">
            <xm:f>NOT(ISERROR(SEARCH(Datasheet!$A$4,D106)))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D106</xm:sqref>
        </x14:conditionalFormatting>
        <x14:conditionalFormatting xmlns:xm="http://schemas.microsoft.com/office/excel/2006/main">
          <x14:cfRule type="containsText" priority="32" operator="containsText" id="{F2606244-C2CA-4E22-9F17-B369533CC878}">
            <xm:f>NOT(ISERROR(SEARCH(Datasheet!$A$1,D108)))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31" operator="containsText" id="{48CF51D7-92FD-4F5B-8F0B-9692E1A264FA}">
            <xm:f>NOT(ISERROR(SEARCH(Datasheet!$A$2,D108)))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30" operator="containsText" id="{36D4364B-171B-440F-838D-C521F37047E0}">
            <xm:f>NOT(ISERROR(SEARCH(Datasheet!$A$3,D108)))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29" operator="containsText" id="{65077B5C-5CF7-4727-8468-45B8D61F5EA0}">
            <xm:f>NOT(ISERROR(SEARCH(Datasheet!$A$4,D108)))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D108</xm:sqref>
        </x14:conditionalFormatting>
        <x14:conditionalFormatting xmlns:xm="http://schemas.microsoft.com/office/excel/2006/main">
          <x14:cfRule type="containsText" priority="28" operator="containsText" id="{B3FA877A-C423-4D4E-8BE4-6EB157B220C5}">
            <xm:f>NOT(ISERROR(SEARCH(Datasheet!$A$1,D110)))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7" operator="containsText" id="{4765C240-D5F6-4441-8322-A1B9BBB3ED4C}">
            <xm:f>NOT(ISERROR(SEARCH(Datasheet!$A$2,D110)))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6" operator="containsText" id="{5EAF99E1-7D5B-4A14-9414-51016370191A}">
            <xm:f>NOT(ISERROR(SEARCH(Datasheet!$A$3,D110)))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5" operator="containsText" id="{83B3221F-1DA4-4F47-82C2-3485545DD23D}">
            <xm:f>NOT(ISERROR(SEARCH(Datasheet!$A$4,D110)))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D110</xm:sqref>
        </x14:conditionalFormatting>
        <x14:conditionalFormatting xmlns:xm="http://schemas.microsoft.com/office/excel/2006/main">
          <x14:cfRule type="containsText" priority="24" operator="containsText" id="{DC1F0B21-C0C5-4185-96F4-D6FCB1499C5A}">
            <xm:f>NOT(ISERROR(SEARCH(Datasheet!$A$1,D111)))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3" operator="containsText" id="{68C27D4F-2606-4E4B-9337-F52C63B739D5}">
            <xm:f>NOT(ISERROR(SEARCH(Datasheet!$A$2,D111)))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2" operator="containsText" id="{109F4163-B86B-4A5E-B4A8-FE62C1B69EEB}">
            <xm:f>NOT(ISERROR(SEARCH(Datasheet!$A$3,D111)))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1" operator="containsText" id="{CDD4451E-24A1-4EE2-B870-5BC360DEA273}">
            <xm:f>NOT(ISERROR(SEARCH(Datasheet!$A$4,D111)))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D111</xm:sqref>
        </x14:conditionalFormatting>
        <x14:conditionalFormatting xmlns:xm="http://schemas.microsoft.com/office/excel/2006/main">
          <x14:cfRule type="containsText" priority="20" operator="containsText" id="{2624BA0F-ACCC-4560-A18E-CCA01A7021D2}">
            <xm:f>NOT(ISERROR(SEARCH(Datasheet!$A$1,D112)))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19" operator="containsText" id="{CCF24B53-CE81-4A54-BF28-A9174FF031AE}">
            <xm:f>NOT(ISERROR(SEARCH(Datasheet!$A$2,D112)))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18" operator="containsText" id="{E05CA050-06ED-4A8F-A9D1-45D8DBAFB5DD}">
            <xm:f>NOT(ISERROR(SEARCH(Datasheet!$A$3,D112)))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17" operator="containsText" id="{D4FC7191-CDA3-4BDF-A0A2-D4BB7334BC7A}">
            <xm:f>NOT(ISERROR(SEARCH(Datasheet!$A$4,D112)))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D112</xm:sqref>
        </x14:conditionalFormatting>
        <x14:conditionalFormatting xmlns:xm="http://schemas.microsoft.com/office/excel/2006/main">
          <x14:cfRule type="containsText" priority="4" operator="containsText" id="{7B78DEF7-0ED9-4760-A3D4-F4BDEA0B93CA}">
            <xm:f>NOT(ISERROR(SEARCH(Datasheet!$A$1,D114)))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D114:D117</xm:sqref>
        </x14:conditionalFormatting>
        <x14:conditionalFormatting xmlns:xm="http://schemas.microsoft.com/office/excel/2006/main">
          <x14:cfRule type="containsText" priority="3" operator="containsText" id="{10FB641F-722E-4E62-9ADD-7AC02035BF51}">
            <xm:f>NOT(ISERROR(SEARCH(Datasheet!$A$2,D114)))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D114:D117</xm:sqref>
        </x14:conditionalFormatting>
        <x14:conditionalFormatting xmlns:xm="http://schemas.microsoft.com/office/excel/2006/main">
          <x14:cfRule type="containsText" priority="2" operator="containsText" id="{A44F7E00-AC61-4F23-9FE3-8A91600CB368}">
            <xm:f>NOT(ISERROR(SEARCH(Datasheet!$A$3,D114)))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D114:D117</xm:sqref>
        </x14:conditionalFormatting>
        <x14:conditionalFormatting xmlns:xm="http://schemas.microsoft.com/office/excel/2006/main">
          <x14:cfRule type="containsText" priority="1" operator="containsText" id="{C87F7016-118A-40E4-B028-1738E7242CD8}">
            <xm:f>NOT(ISERROR(SEARCH(Datasheet!$A$4,D114)))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D114:D117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CEE7F9-792B-42D0-BA26-DD0FB81C3C81}">
          <x14:formula1>
            <xm:f>Datasheet!$A$1:$A$4</xm:f>
          </x14:formula1>
          <xm:sqref>D3:D34 D36 D38:D41 D43:D45 D47:D54 D56:D57 D59 D61 D63:D68 D70:D71 D73 D75 D77 D79:D81 D83:D86 D110:D112 D94:D95 D97:D100 D102:D104 D106 D108 D88:D92 D114:D117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A038-D6DF-4091-A874-8F4090543781}">
  <dimension ref="A1:BI108"/>
  <sheetViews>
    <sheetView tabSelected="1" workbookViewId="0">
      <selection activeCell="F15" sqref="F15"/>
    </sheetView>
  </sheetViews>
  <sheetFormatPr defaultRowHeight="15"/>
  <cols>
    <col min="1" max="1" width="12.7109375" style="21" customWidth="1"/>
    <col min="2" max="2" width="9.140625" style="21"/>
    <col min="3" max="3" width="22.7109375" style="21" customWidth="1"/>
    <col min="4" max="4" width="67.5703125" style="21" customWidth="1"/>
    <col min="5" max="5" width="41.28515625" style="21" customWidth="1"/>
    <col min="6" max="6" width="30" style="21" customWidth="1"/>
    <col min="7" max="7" width="20.42578125" style="21" bestFit="1" customWidth="1"/>
    <col min="8" max="8" width="25.5703125" style="21" customWidth="1"/>
    <col min="9" max="9" width="18.5703125" style="21" customWidth="1"/>
    <col min="10" max="10" width="24.7109375" style="21" customWidth="1"/>
    <col min="11" max="11" width="14.85546875" style="21" customWidth="1"/>
    <col min="12" max="12" width="35.42578125" style="21" customWidth="1"/>
    <col min="13" max="16384" width="9.140625" style="21"/>
  </cols>
  <sheetData>
    <row r="1" spans="1:61" ht="29.25">
      <c r="A1" s="138" t="s">
        <v>26</v>
      </c>
      <c r="B1" s="50" t="s">
        <v>27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1"/>
    </row>
    <row r="2" spans="1:61">
      <c r="A2" s="139" t="s">
        <v>28</v>
      </c>
      <c r="B2" s="51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1"/>
    </row>
    <row r="3" spans="1:61">
      <c r="A3" s="139" t="s">
        <v>29</v>
      </c>
      <c r="B3" s="52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1"/>
    </row>
    <row r="4" spans="1:61">
      <c r="A4" s="49"/>
      <c r="B4" s="14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1"/>
    </row>
    <row r="5" spans="1:61">
      <c r="A5" s="117" t="s">
        <v>30</v>
      </c>
      <c r="B5" s="116" t="s">
        <v>17</v>
      </c>
      <c r="C5" s="104"/>
      <c r="D5" s="115" t="s">
        <v>31</v>
      </c>
      <c r="E5" s="115" t="s">
        <v>32</v>
      </c>
      <c r="F5" s="115" t="s">
        <v>33</v>
      </c>
      <c r="G5" s="115" t="s">
        <v>34</v>
      </c>
      <c r="H5" s="115"/>
      <c r="I5" s="132" t="s">
        <v>35</v>
      </c>
      <c r="J5" s="132"/>
      <c r="K5" s="115" t="s">
        <v>36</v>
      </c>
      <c r="L5" s="135" t="s">
        <v>21</v>
      </c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1"/>
    </row>
    <row r="6" spans="1:61">
      <c r="A6" s="117"/>
      <c r="B6" s="116"/>
      <c r="C6" s="28"/>
      <c r="D6" s="116"/>
      <c r="E6" s="116"/>
      <c r="F6" s="116"/>
      <c r="G6" s="28" t="s">
        <v>37</v>
      </c>
      <c r="H6" s="28" t="s">
        <v>38</v>
      </c>
      <c r="I6" s="36" t="s">
        <v>39</v>
      </c>
      <c r="J6" s="36" t="s">
        <v>40</v>
      </c>
      <c r="K6" s="116"/>
      <c r="L6" s="136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1"/>
    </row>
    <row r="7" spans="1:61">
      <c r="E7" s="37"/>
      <c r="F7" s="141"/>
      <c r="G7" s="142"/>
      <c r="H7" s="142"/>
      <c r="I7" s="142"/>
      <c r="J7" s="142"/>
      <c r="L7" s="7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1"/>
    </row>
    <row r="8" spans="1:61" ht="18.75">
      <c r="D8" s="38"/>
      <c r="E8" s="30"/>
      <c r="G8" s="142"/>
      <c r="H8" s="142"/>
      <c r="I8" s="142"/>
      <c r="J8" s="142"/>
      <c r="L8" s="7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1"/>
    </row>
    <row r="9" spans="1:61" ht="18.75">
      <c r="D9" s="38"/>
      <c r="E9" s="30"/>
      <c r="G9" s="142"/>
      <c r="H9" s="142"/>
      <c r="I9" s="142"/>
      <c r="J9" s="142"/>
      <c r="L9" s="7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1"/>
    </row>
    <row r="10" spans="1:61" ht="18.75">
      <c r="D10" s="38"/>
      <c r="E10" s="30"/>
      <c r="G10" s="142"/>
      <c r="H10" s="142"/>
      <c r="I10" s="142"/>
      <c r="J10" s="142"/>
      <c r="L10" s="7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1"/>
    </row>
    <row r="11" spans="1:61" ht="18.75">
      <c r="E11" s="34"/>
      <c r="G11" s="142"/>
      <c r="H11" s="142"/>
      <c r="I11" s="142"/>
      <c r="J11" s="142"/>
      <c r="L11" s="7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1"/>
    </row>
    <row r="12" spans="1:61" ht="18.75">
      <c r="D12" s="38"/>
      <c r="E12" s="30"/>
      <c r="G12" s="142"/>
      <c r="H12" s="142"/>
      <c r="I12" s="142"/>
      <c r="J12" s="142"/>
      <c r="L12" s="7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1"/>
    </row>
    <row r="13" spans="1:61" ht="18.75">
      <c r="B13" s="31"/>
      <c r="C13" s="31"/>
      <c r="D13" s="38"/>
      <c r="E13" s="31"/>
      <c r="G13" s="39"/>
      <c r="H13" s="39"/>
      <c r="I13" s="39"/>
      <c r="J13" s="39"/>
      <c r="L13" s="7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1"/>
    </row>
    <row r="14" spans="1:61" ht="18.75">
      <c r="B14" s="31"/>
      <c r="C14" s="31"/>
      <c r="D14" s="38"/>
      <c r="E14" s="31"/>
      <c r="G14" s="39"/>
      <c r="H14" s="39"/>
      <c r="I14" s="39"/>
      <c r="J14" s="39"/>
      <c r="L14" s="7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1"/>
    </row>
    <row r="15" spans="1:61" ht="18.75">
      <c r="B15" s="31"/>
      <c r="D15" s="38"/>
      <c r="E15" s="31"/>
      <c r="G15" s="39"/>
      <c r="H15" s="39"/>
      <c r="I15" s="39"/>
      <c r="J15" s="39"/>
      <c r="L15" s="7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1"/>
    </row>
    <row r="16" spans="1:61" ht="18.75">
      <c r="D16" s="38"/>
      <c r="G16" s="53" t="s">
        <v>41</v>
      </c>
      <c r="H16" s="54" t="s">
        <v>42</v>
      </c>
      <c r="L16" s="7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1"/>
    </row>
    <row r="17" spans="1:61" ht="18.75">
      <c r="D17" s="38"/>
      <c r="L17" s="7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1"/>
    </row>
    <row r="18" spans="1:61">
      <c r="A18" s="119" t="s">
        <v>43</v>
      </c>
      <c r="B18" s="113" t="s">
        <v>17</v>
      </c>
      <c r="C18" s="113" t="s">
        <v>31</v>
      </c>
      <c r="D18" s="116" t="s">
        <v>32</v>
      </c>
      <c r="E18" s="116" t="s">
        <v>33</v>
      </c>
      <c r="F18" s="113" t="s">
        <v>34</v>
      </c>
      <c r="G18" s="113"/>
      <c r="H18" s="118" t="s">
        <v>35</v>
      </c>
      <c r="I18" s="118"/>
      <c r="J18" s="113" t="s">
        <v>36</v>
      </c>
      <c r="K18" s="113" t="s">
        <v>21</v>
      </c>
      <c r="L18" s="42"/>
      <c r="M18" s="134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1"/>
    </row>
    <row r="19" spans="1:61">
      <c r="A19" s="119"/>
      <c r="B19" s="113"/>
      <c r="C19" s="113"/>
      <c r="D19" s="116"/>
      <c r="E19" s="116"/>
      <c r="F19" s="19" t="s">
        <v>37</v>
      </c>
      <c r="G19" s="19" t="s">
        <v>38</v>
      </c>
      <c r="H19" s="20" t="s">
        <v>39</v>
      </c>
      <c r="I19" s="20" t="s">
        <v>40</v>
      </c>
      <c r="J19" s="113"/>
      <c r="K19" s="113"/>
      <c r="L19" s="42"/>
      <c r="M19" s="134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1"/>
    </row>
    <row r="20" spans="1:61" ht="18.75">
      <c r="A20" s="1"/>
      <c r="B20" s="38"/>
      <c r="C20" s="38"/>
      <c r="D20" s="32"/>
      <c r="K20" s="1"/>
      <c r="L20" s="42"/>
      <c r="M20" s="134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1"/>
    </row>
    <row r="21" spans="1:61" ht="18.75">
      <c r="A21" s="1"/>
      <c r="C21" s="38"/>
      <c r="D21" s="31"/>
      <c r="F21" s="142"/>
      <c r="G21" s="142"/>
      <c r="H21" s="142"/>
      <c r="I21" s="142"/>
      <c r="K21" s="1"/>
      <c r="L21" s="42"/>
      <c r="M21" s="134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1"/>
    </row>
    <row r="22" spans="1:61" ht="18.75">
      <c r="A22" s="1"/>
      <c r="C22" s="38"/>
      <c r="D22" s="31"/>
      <c r="F22" s="142"/>
      <c r="G22" s="142"/>
      <c r="H22" s="142"/>
      <c r="I22" s="142"/>
      <c r="K22" s="1"/>
      <c r="L22" s="42"/>
      <c r="M22" s="134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1"/>
    </row>
    <row r="23" spans="1:61" ht="18.75">
      <c r="A23" s="1"/>
      <c r="C23" s="38"/>
      <c r="D23" s="31"/>
      <c r="F23" s="142"/>
      <c r="G23" s="142"/>
      <c r="H23" s="142"/>
      <c r="I23" s="142"/>
      <c r="K23" s="1"/>
      <c r="L23" s="42"/>
      <c r="M23" s="134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1"/>
    </row>
    <row r="24" spans="1:61" ht="18.75">
      <c r="A24" s="1"/>
      <c r="C24" s="38"/>
      <c r="D24" s="32"/>
      <c r="K24" s="1"/>
      <c r="L24" s="42"/>
      <c r="M24" s="134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1"/>
    </row>
    <row r="25" spans="1:61" ht="18.75">
      <c r="A25" s="1"/>
      <c r="C25" s="38"/>
      <c r="D25" s="31"/>
      <c r="F25" s="142"/>
      <c r="G25" s="142"/>
      <c r="H25" s="142"/>
      <c r="I25" s="142"/>
      <c r="K25" s="1"/>
      <c r="L25" s="42"/>
      <c r="M25" s="134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1"/>
    </row>
    <row r="26" spans="1:61" ht="18.75">
      <c r="A26" s="1"/>
      <c r="C26" s="38"/>
      <c r="D26" s="32"/>
      <c r="K26" s="1"/>
      <c r="L26" s="42"/>
      <c r="M26" s="134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1"/>
    </row>
    <row r="27" spans="1:61" ht="18.75">
      <c r="A27" s="1"/>
      <c r="C27" s="38"/>
      <c r="D27" s="31"/>
      <c r="F27" s="142"/>
      <c r="G27" s="142"/>
      <c r="H27" s="142"/>
      <c r="I27" s="142"/>
      <c r="K27" s="1"/>
      <c r="L27" s="42"/>
      <c r="M27" s="134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1"/>
    </row>
    <row r="28" spans="1:61" ht="18.75">
      <c r="A28" s="1"/>
      <c r="C28" s="38"/>
      <c r="D28" s="32"/>
      <c r="K28" s="1"/>
      <c r="L28" s="42"/>
      <c r="M28" s="134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1"/>
    </row>
    <row r="29" spans="1:61" ht="18.75">
      <c r="A29" s="1"/>
      <c r="C29" s="38"/>
      <c r="D29" s="35"/>
      <c r="F29" s="142"/>
      <c r="G29" s="142"/>
      <c r="H29" s="142"/>
      <c r="I29" s="142"/>
      <c r="K29" s="1"/>
      <c r="L29" s="42"/>
      <c r="M29" s="134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1"/>
    </row>
    <row r="30" spans="1:61" ht="18.75">
      <c r="D30" s="32"/>
      <c r="F30" s="31"/>
      <c r="G30" s="31"/>
      <c r="H30" s="31"/>
      <c r="I30" s="31"/>
      <c r="J30" s="31"/>
      <c r="K30" s="31"/>
      <c r="L30" s="42"/>
      <c r="M30" s="134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1"/>
    </row>
    <row r="31" spans="1:61" ht="18.75">
      <c r="C31" s="60"/>
      <c r="D31" s="31"/>
      <c r="F31" s="142"/>
      <c r="G31" s="142"/>
      <c r="H31" s="142"/>
      <c r="I31" s="142"/>
      <c r="K31" s="31"/>
      <c r="L31" s="42"/>
      <c r="M31" s="134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1"/>
    </row>
    <row r="32" spans="1:61" ht="18.75">
      <c r="C32" s="60"/>
      <c r="D32" s="31"/>
      <c r="F32" s="142"/>
      <c r="G32" s="142"/>
      <c r="H32" s="142"/>
      <c r="I32" s="142"/>
      <c r="K32" s="31"/>
      <c r="L32" s="42"/>
      <c r="M32" s="134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1"/>
    </row>
    <row r="33" spans="3:61" ht="18.75">
      <c r="C33" s="60"/>
      <c r="D33" s="31"/>
      <c r="F33" s="142"/>
      <c r="G33" s="142"/>
      <c r="H33" s="142"/>
      <c r="I33" s="142"/>
      <c r="K33" s="31"/>
      <c r="L33" s="42"/>
      <c r="M33" s="134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1"/>
    </row>
    <row r="34" spans="3:61" ht="18.75">
      <c r="C34" s="60"/>
      <c r="D34" s="32"/>
      <c r="F34" s="142"/>
      <c r="G34" s="142"/>
      <c r="H34" s="142"/>
      <c r="I34" s="142"/>
      <c r="K34" s="31"/>
      <c r="L34" s="42"/>
      <c r="M34" s="134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1"/>
    </row>
    <row r="35" spans="3:61" ht="18.75">
      <c r="C35" s="38"/>
      <c r="D35" s="61"/>
      <c r="F35" s="142"/>
      <c r="G35" s="142"/>
      <c r="H35" s="142"/>
      <c r="I35" s="142"/>
      <c r="K35" s="31"/>
      <c r="L35" s="1"/>
      <c r="M35" s="44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</row>
    <row r="36" spans="3:61" ht="18.75">
      <c r="C36" s="38"/>
      <c r="D36" s="62"/>
      <c r="F36" s="142"/>
      <c r="G36" s="142"/>
      <c r="H36" s="142"/>
      <c r="I36" s="142"/>
      <c r="K36" s="31"/>
      <c r="L36" s="1"/>
      <c r="M36" s="1"/>
    </row>
    <row r="37" spans="3:61" ht="18.75">
      <c r="C37" s="63"/>
      <c r="D37" s="35"/>
      <c r="F37" s="142"/>
      <c r="G37" s="142"/>
      <c r="H37" s="142"/>
      <c r="I37" s="142"/>
      <c r="K37" s="31"/>
      <c r="L37" s="1"/>
      <c r="M37" s="1"/>
    </row>
    <row r="38" spans="3:61" ht="18.75">
      <c r="C38" s="60"/>
      <c r="D38" s="32"/>
      <c r="L38" s="1"/>
      <c r="M38" s="1"/>
    </row>
    <row r="39" spans="3:61" ht="18.75">
      <c r="C39" s="38"/>
      <c r="D39" s="55"/>
      <c r="E39" s="69"/>
      <c r="F39" s="142"/>
      <c r="G39" s="142"/>
      <c r="H39" s="142"/>
      <c r="I39" s="142"/>
      <c r="L39" s="1"/>
      <c r="M39" s="1"/>
    </row>
    <row r="40" spans="3:61" ht="18.75">
      <c r="C40" s="38"/>
      <c r="D40" s="55"/>
      <c r="E40" s="69"/>
      <c r="F40" s="142"/>
      <c r="G40" s="142"/>
      <c r="H40" s="142"/>
      <c r="I40" s="142"/>
      <c r="L40" s="1"/>
      <c r="M40" s="1"/>
    </row>
    <row r="41" spans="3:61" ht="18.75">
      <c r="C41" s="38"/>
      <c r="D41" s="55"/>
      <c r="E41" s="69"/>
      <c r="F41" s="142"/>
      <c r="G41" s="142"/>
      <c r="H41" s="142"/>
      <c r="I41" s="142"/>
      <c r="L41" s="1"/>
      <c r="M41" s="1"/>
    </row>
    <row r="42" spans="3:61" ht="18.75">
      <c r="C42" s="38"/>
      <c r="D42" s="55"/>
      <c r="E42" s="69"/>
      <c r="F42" s="142"/>
      <c r="G42" s="142"/>
      <c r="H42" s="142"/>
      <c r="I42" s="142"/>
      <c r="L42" s="1"/>
      <c r="M42" s="1"/>
    </row>
    <row r="43" spans="3:61" s="37" customFormat="1" ht="18.75">
      <c r="C43" s="38"/>
      <c r="D43" s="55"/>
      <c r="E43" s="69"/>
      <c r="F43" s="142"/>
      <c r="G43" s="142"/>
      <c r="H43" s="142"/>
      <c r="I43" s="142"/>
      <c r="J43" s="21"/>
      <c r="L43" s="33"/>
      <c r="M43" s="33"/>
    </row>
    <row r="44" spans="3:61" ht="18.75">
      <c r="C44" s="38"/>
      <c r="D44" s="55"/>
      <c r="E44" s="69"/>
      <c r="F44" s="142"/>
      <c r="G44" s="142"/>
      <c r="H44" s="39"/>
      <c r="I44" s="142"/>
      <c r="L44" s="1"/>
      <c r="M44" s="1"/>
    </row>
    <row r="45" spans="3:61" ht="18.75">
      <c r="C45" s="38"/>
      <c r="D45" s="55"/>
      <c r="E45" s="69"/>
      <c r="F45" s="142"/>
      <c r="G45" s="142"/>
      <c r="H45" s="142"/>
      <c r="I45" s="142"/>
      <c r="L45" s="1"/>
      <c r="M45" s="1"/>
    </row>
    <row r="46" spans="3:61" ht="15" customHeight="1">
      <c r="C46" s="38"/>
      <c r="D46" s="55"/>
      <c r="E46" s="69"/>
      <c r="F46" s="142"/>
      <c r="G46" s="142"/>
      <c r="H46" s="142"/>
      <c r="I46" s="142"/>
      <c r="L46" s="1"/>
      <c r="M46" s="1"/>
    </row>
    <row r="47" spans="3:61" ht="15" customHeight="1">
      <c r="C47" s="60"/>
      <c r="D47" s="32"/>
      <c r="L47" s="1"/>
      <c r="M47" s="1"/>
    </row>
    <row r="48" spans="3:61" ht="18.75">
      <c r="C48" s="63"/>
      <c r="D48" s="55"/>
      <c r="E48" s="69"/>
      <c r="F48" s="142"/>
      <c r="G48" s="142"/>
      <c r="H48" s="142"/>
      <c r="I48" s="142"/>
      <c r="L48" s="1"/>
      <c r="M48" s="1"/>
    </row>
    <row r="49" spans="1:13" ht="18.75">
      <c r="C49" s="63"/>
      <c r="D49" s="55"/>
      <c r="E49" s="69"/>
      <c r="F49" s="142"/>
      <c r="G49" s="142"/>
      <c r="H49" s="142"/>
      <c r="I49" s="142"/>
      <c r="L49" s="1"/>
      <c r="M49" s="1"/>
    </row>
    <row r="50" spans="1:13" ht="18.75">
      <c r="C50" s="60"/>
      <c r="D50" s="32"/>
      <c r="L50" s="1"/>
      <c r="M50" s="1"/>
    </row>
    <row r="51" spans="1:13" ht="18.75">
      <c r="C51" s="63"/>
      <c r="D51" s="55"/>
      <c r="E51" s="69"/>
      <c r="F51" s="142"/>
      <c r="G51" s="142"/>
      <c r="H51" s="142"/>
      <c r="I51" s="142"/>
      <c r="L51" s="1"/>
      <c r="M51" s="1"/>
    </row>
    <row r="52" spans="1:13" ht="18.75">
      <c r="C52" s="63"/>
      <c r="D52" s="32"/>
      <c r="L52" s="1"/>
      <c r="M52" s="1"/>
    </row>
    <row r="53" spans="1:13" ht="18.75">
      <c r="C53" s="63"/>
      <c r="D53" s="55"/>
      <c r="E53" s="69"/>
      <c r="F53" s="142"/>
      <c r="G53" s="142"/>
      <c r="H53" s="142"/>
      <c r="I53" s="142"/>
      <c r="L53" s="1"/>
      <c r="M53" s="1"/>
    </row>
    <row r="54" spans="1:13" ht="18.75">
      <c r="C54" s="63"/>
      <c r="D54" s="32"/>
      <c r="L54" s="1"/>
      <c r="M54" s="1"/>
    </row>
    <row r="55" spans="1:13" s="37" customFormat="1" ht="18.75">
      <c r="A55" s="33"/>
      <c r="B55" s="33"/>
      <c r="C55" s="63"/>
      <c r="D55" s="55"/>
      <c r="E55" s="69"/>
      <c r="F55" s="142"/>
      <c r="G55" s="142"/>
      <c r="H55" s="142"/>
      <c r="I55" s="142"/>
      <c r="J55" s="21"/>
      <c r="K55" s="33"/>
      <c r="L55" s="33"/>
      <c r="M55" s="33"/>
    </row>
    <row r="56" spans="1:13" ht="18.75">
      <c r="A56" s="1"/>
      <c r="B56" s="1"/>
      <c r="C56" s="63"/>
      <c r="D56" s="55"/>
      <c r="E56" s="69"/>
      <c r="F56" s="142"/>
      <c r="G56" s="142"/>
      <c r="H56" s="142"/>
      <c r="I56" s="142"/>
      <c r="K56" s="1"/>
      <c r="L56" s="1"/>
      <c r="M56" s="1"/>
    </row>
    <row r="57" spans="1:13" ht="15" customHeight="1">
      <c r="C57" s="63"/>
      <c r="D57" s="55"/>
      <c r="E57" s="69"/>
      <c r="F57" s="142"/>
      <c r="G57" s="142"/>
      <c r="H57" s="142"/>
      <c r="I57" s="142"/>
      <c r="L57" s="1"/>
      <c r="M57" s="1"/>
    </row>
    <row r="58" spans="1:13" ht="18.75">
      <c r="C58" s="63"/>
      <c r="D58" s="55"/>
      <c r="E58" s="69"/>
      <c r="F58" s="142"/>
      <c r="G58" s="142"/>
      <c r="H58" s="142"/>
      <c r="I58" s="142"/>
      <c r="L58" s="1"/>
      <c r="M58" s="1"/>
    </row>
    <row r="59" spans="1:13" s="37" customFormat="1" ht="18.75">
      <c r="C59" s="63"/>
      <c r="D59" s="55"/>
      <c r="E59" s="69"/>
      <c r="F59" s="142"/>
      <c r="G59" s="142"/>
      <c r="H59" s="142"/>
      <c r="I59" s="142"/>
      <c r="J59" s="21"/>
      <c r="L59" s="33"/>
      <c r="M59" s="33"/>
    </row>
    <row r="60" spans="1:13" ht="18.75">
      <c r="C60" s="63"/>
      <c r="D60" s="32"/>
      <c r="F60" s="142"/>
      <c r="G60" s="142"/>
      <c r="H60" s="142"/>
      <c r="I60" s="142"/>
      <c r="L60" s="1"/>
      <c r="M60" s="1"/>
    </row>
    <row r="61" spans="1:13" ht="18.75">
      <c r="C61" s="63"/>
      <c r="D61" s="55"/>
      <c r="E61" s="69"/>
      <c r="F61" s="142"/>
      <c r="G61" s="142"/>
      <c r="H61" s="142"/>
      <c r="I61" s="142"/>
      <c r="L61" s="1"/>
      <c r="M61" s="1"/>
    </row>
    <row r="62" spans="1:13" ht="18.75">
      <c r="C62" s="63"/>
      <c r="D62" s="55"/>
      <c r="E62" s="69"/>
      <c r="F62" s="142"/>
      <c r="G62" s="142"/>
      <c r="H62" s="142"/>
      <c r="I62" s="142"/>
      <c r="L62" s="1"/>
      <c r="M62" s="1"/>
    </row>
    <row r="63" spans="1:13" ht="18.75">
      <c r="C63" s="63"/>
      <c r="D63" s="32"/>
      <c r="L63" s="1"/>
      <c r="M63" s="1"/>
    </row>
    <row r="64" spans="1:13" ht="18.75">
      <c r="C64" s="63"/>
      <c r="D64" s="55"/>
      <c r="E64" s="69"/>
      <c r="F64" s="142"/>
      <c r="G64" s="142"/>
      <c r="H64" s="142"/>
      <c r="I64" s="142"/>
      <c r="L64" s="1"/>
      <c r="M64" s="1"/>
    </row>
    <row r="65" spans="1:13" ht="18.75">
      <c r="C65" s="63"/>
      <c r="D65" s="68"/>
      <c r="L65" s="1"/>
      <c r="M65" s="1"/>
    </row>
    <row r="66" spans="1:13" ht="18.75">
      <c r="A66" s="1"/>
      <c r="B66" s="1"/>
      <c r="C66" s="63"/>
      <c r="D66" s="55"/>
      <c r="E66" s="69"/>
      <c r="F66" s="142"/>
      <c r="G66" s="142"/>
      <c r="H66" s="142"/>
      <c r="I66" s="142"/>
      <c r="K66" s="1"/>
      <c r="L66" s="1"/>
      <c r="M66" s="1"/>
    </row>
    <row r="67" spans="1:13" ht="18.75">
      <c r="C67" s="63"/>
      <c r="D67" s="68"/>
      <c r="L67" s="1"/>
      <c r="M67" s="1"/>
    </row>
    <row r="68" spans="1:13" ht="18.75">
      <c r="C68" s="63"/>
      <c r="D68" s="55"/>
      <c r="E68" s="69"/>
      <c r="F68" s="142"/>
      <c r="G68" s="142"/>
      <c r="H68" s="142"/>
      <c r="I68" s="142"/>
    </row>
    <row r="69" spans="1:13" ht="18.75">
      <c r="C69" s="63"/>
      <c r="D69" s="68"/>
    </row>
    <row r="70" spans="1:13" ht="18.75">
      <c r="C70" s="63"/>
      <c r="D70" s="55"/>
      <c r="E70" s="69"/>
      <c r="F70" s="142"/>
      <c r="G70" s="142"/>
      <c r="H70" s="142"/>
      <c r="I70" s="142"/>
    </row>
    <row r="71" spans="1:13" ht="18.75">
      <c r="C71" s="63"/>
      <c r="D71" s="55"/>
      <c r="E71" s="70"/>
      <c r="F71" s="142"/>
      <c r="G71" s="142"/>
      <c r="H71" s="142"/>
      <c r="I71" s="142"/>
    </row>
    <row r="72" spans="1:13" ht="18.75">
      <c r="D72" s="59"/>
    </row>
    <row r="73" spans="1:13" ht="18.75">
      <c r="C73" s="63"/>
      <c r="D73" s="55"/>
      <c r="E73" s="70"/>
      <c r="F73" s="142"/>
      <c r="G73" s="142"/>
      <c r="H73" s="142"/>
      <c r="I73" s="142"/>
    </row>
    <row r="74" spans="1:13" ht="18.75">
      <c r="C74" s="63"/>
      <c r="D74" s="55"/>
      <c r="E74" s="70"/>
      <c r="F74" s="142"/>
      <c r="G74" s="142"/>
      <c r="H74" s="142"/>
      <c r="I74" s="142"/>
    </row>
    <row r="75" spans="1:13" ht="18.75">
      <c r="C75" s="63"/>
      <c r="D75" s="55"/>
      <c r="F75" s="142"/>
      <c r="G75" s="142"/>
      <c r="H75" s="142"/>
      <c r="I75" s="142"/>
    </row>
    <row r="76" spans="1:13" ht="18.75">
      <c r="C76" s="63"/>
      <c r="D76" s="55"/>
      <c r="F76" s="142"/>
      <c r="G76" s="142"/>
      <c r="H76" s="142"/>
      <c r="I76" s="142"/>
    </row>
    <row r="77" spans="1:13">
      <c r="G77" s="53" t="s">
        <v>41</v>
      </c>
      <c r="H77" s="54" t="s">
        <v>42</v>
      </c>
    </row>
    <row r="79" spans="1:13">
      <c r="A79" s="119" t="s">
        <v>44</v>
      </c>
      <c r="B79" s="113" t="s">
        <v>17</v>
      </c>
      <c r="C79" s="19"/>
      <c r="D79" s="114" t="s">
        <v>32</v>
      </c>
      <c r="E79" s="116" t="s">
        <v>33</v>
      </c>
      <c r="F79" s="113" t="s">
        <v>34</v>
      </c>
      <c r="G79" s="113"/>
      <c r="H79" s="118" t="s">
        <v>35</v>
      </c>
      <c r="I79" s="118"/>
      <c r="J79" s="113" t="s">
        <v>36</v>
      </c>
      <c r="K79" s="113" t="s">
        <v>21</v>
      </c>
    </row>
    <row r="80" spans="1:13">
      <c r="A80" s="119"/>
      <c r="B80" s="113"/>
      <c r="C80" s="19"/>
      <c r="D80" s="115"/>
      <c r="E80" s="116"/>
      <c r="F80" s="19" t="s">
        <v>37</v>
      </c>
      <c r="G80" s="19" t="s">
        <v>38</v>
      </c>
      <c r="H80" s="20" t="s">
        <v>39</v>
      </c>
      <c r="I80" s="20" t="s">
        <v>40</v>
      </c>
      <c r="J80" s="113"/>
      <c r="K80" s="113"/>
    </row>
    <row r="81" spans="1:11" ht="18.75">
      <c r="A81" s="112"/>
      <c r="B81" s="1"/>
      <c r="C81" s="63"/>
      <c r="D81" s="55"/>
      <c r="F81" s="79"/>
      <c r="G81" s="18"/>
      <c r="H81" s="79"/>
      <c r="I81" s="18"/>
      <c r="J81" s="1"/>
      <c r="K81" s="1"/>
    </row>
    <row r="82" spans="1:11" ht="18.75">
      <c r="A82" s="112"/>
      <c r="B82" s="1"/>
      <c r="C82" s="63"/>
      <c r="D82" s="55"/>
      <c r="E82" s="73"/>
      <c r="F82" s="79"/>
      <c r="G82" s="18"/>
      <c r="H82" s="79"/>
      <c r="I82" s="18"/>
      <c r="J82" s="1"/>
      <c r="K82" s="1"/>
    </row>
    <row r="83" spans="1:11" ht="18.75">
      <c r="A83" s="112"/>
      <c r="B83" s="1"/>
      <c r="C83" s="63"/>
      <c r="D83" s="55"/>
      <c r="F83" s="79"/>
      <c r="G83" s="18"/>
      <c r="H83" s="79"/>
      <c r="I83" s="18"/>
      <c r="J83" s="1"/>
      <c r="K83" s="1"/>
    </row>
    <row r="84" spans="1:11" ht="18.75">
      <c r="A84" s="1"/>
      <c r="B84" s="1"/>
      <c r="C84" s="63"/>
      <c r="D84" s="55"/>
      <c r="F84" s="18"/>
      <c r="G84" s="18"/>
      <c r="H84" s="18"/>
      <c r="I84" s="18"/>
      <c r="J84" s="1"/>
      <c r="K84" s="1"/>
    </row>
    <row r="85" spans="1:11" ht="18.75">
      <c r="A85" s="1"/>
      <c r="B85" s="1"/>
      <c r="C85" s="63"/>
      <c r="D85" s="55"/>
      <c r="F85" s="79"/>
      <c r="G85" s="18"/>
      <c r="H85" s="79"/>
      <c r="I85" s="18"/>
      <c r="J85" s="1"/>
      <c r="K85" s="1"/>
    </row>
    <row r="86" spans="1:11" ht="18.75">
      <c r="A86" s="76"/>
      <c r="B86" s="77"/>
      <c r="C86" s="63"/>
      <c r="D86" s="55"/>
      <c r="F86" s="79"/>
      <c r="G86" s="18"/>
      <c r="H86" s="79"/>
      <c r="I86" s="18"/>
      <c r="J86" s="1"/>
      <c r="K86" s="77"/>
    </row>
    <row r="87" spans="1:11" ht="18.75">
      <c r="A87" s="47"/>
      <c r="B87" s="1"/>
      <c r="C87" s="63"/>
      <c r="D87" s="55"/>
      <c r="F87" s="18"/>
      <c r="G87" s="18"/>
      <c r="H87" s="18"/>
      <c r="I87" s="18"/>
      <c r="J87" s="1"/>
      <c r="K87" s="1"/>
    </row>
    <row r="88" spans="1:11" ht="18.75">
      <c r="A88" s="47"/>
      <c r="B88" s="1"/>
      <c r="C88" s="63"/>
      <c r="D88" s="55"/>
      <c r="F88" s="79"/>
      <c r="G88" s="18"/>
      <c r="H88" s="79"/>
      <c r="I88" s="18"/>
      <c r="J88" s="1"/>
      <c r="K88" s="1"/>
    </row>
    <row r="89" spans="1:11" ht="18.75">
      <c r="A89" s="47"/>
      <c r="B89" s="1"/>
      <c r="C89" s="63"/>
      <c r="D89" s="55"/>
      <c r="F89" s="79"/>
      <c r="G89" s="18"/>
      <c r="H89" s="79"/>
      <c r="I89" s="18"/>
      <c r="J89" s="1"/>
      <c r="K89" s="1"/>
    </row>
    <row r="90" spans="1:11" ht="18.75">
      <c r="A90" s="47"/>
      <c r="B90" s="1"/>
      <c r="C90" s="63"/>
      <c r="D90" s="55"/>
      <c r="F90" s="79"/>
      <c r="G90" s="18"/>
      <c r="H90" s="79"/>
      <c r="I90" s="18"/>
      <c r="J90" s="1"/>
      <c r="K90" s="1"/>
    </row>
    <row r="91" spans="1:11" ht="18.75">
      <c r="A91" s="47"/>
      <c r="B91" s="1"/>
      <c r="C91" s="63"/>
      <c r="D91" s="55"/>
      <c r="F91" s="79"/>
      <c r="G91" s="18"/>
      <c r="H91" s="79"/>
      <c r="I91" s="18"/>
      <c r="J91" s="1"/>
      <c r="K91" s="1"/>
    </row>
    <row r="92" spans="1:11" ht="18.75">
      <c r="A92" s="47"/>
      <c r="B92" s="1"/>
      <c r="C92" s="63"/>
      <c r="D92" s="55"/>
      <c r="F92" s="79"/>
      <c r="G92" s="18"/>
      <c r="H92" s="79"/>
      <c r="I92" s="18"/>
      <c r="J92" s="1"/>
      <c r="K92" s="1"/>
    </row>
    <row r="93" spans="1:11" ht="18.75">
      <c r="A93" s="1"/>
      <c r="B93" s="1"/>
      <c r="C93" s="63"/>
      <c r="D93" s="55"/>
      <c r="F93" s="18"/>
      <c r="G93" s="18"/>
      <c r="H93" s="18"/>
      <c r="I93" s="18"/>
      <c r="J93" s="1"/>
      <c r="K93" s="1"/>
    </row>
    <row r="94" spans="1:11" ht="18.75">
      <c r="A94" s="1"/>
      <c r="B94" s="1"/>
      <c r="C94" s="63"/>
      <c r="D94" s="55"/>
      <c r="F94" s="79"/>
      <c r="G94" s="18"/>
      <c r="H94" s="79"/>
      <c r="I94" s="18"/>
      <c r="J94" s="1"/>
      <c r="K94" s="1"/>
    </row>
    <row r="95" spans="1:11" ht="18.75">
      <c r="A95" s="1"/>
      <c r="B95" s="1"/>
      <c r="C95" s="63"/>
      <c r="D95" s="55"/>
      <c r="F95" s="79"/>
      <c r="G95" s="18"/>
      <c r="H95" s="79"/>
      <c r="I95" s="18"/>
      <c r="J95" s="1"/>
      <c r="K95" s="1"/>
    </row>
    <row r="96" spans="1:11" ht="18.75">
      <c r="A96" s="1"/>
      <c r="B96" s="1"/>
      <c r="C96" s="63"/>
      <c r="D96" s="55"/>
      <c r="F96" s="79"/>
      <c r="G96" s="18"/>
      <c r="H96" s="79"/>
      <c r="I96" s="18"/>
      <c r="J96" s="1"/>
      <c r="K96" s="1"/>
    </row>
    <row r="97" spans="1:11" ht="15.75">
      <c r="A97" s="48" t="s">
        <v>45</v>
      </c>
      <c r="B97" s="19" t="s">
        <v>17</v>
      </c>
      <c r="C97" s="19"/>
      <c r="D97" s="28" t="s">
        <v>32</v>
      </c>
      <c r="E97" s="28" t="s">
        <v>33</v>
      </c>
      <c r="F97" s="19" t="s">
        <v>34</v>
      </c>
      <c r="G97" s="19"/>
      <c r="H97" s="20" t="s">
        <v>35</v>
      </c>
      <c r="I97" s="20"/>
      <c r="J97" s="19" t="s">
        <v>36</v>
      </c>
      <c r="K97" s="19" t="s">
        <v>21</v>
      </c>
    </row>
    <row r="98" spans="1:11" ht="15.75">
      <c r="A98" s="48"/>
      <c r="B98" s="19"/>
      <c r="C98" s="19"/>
      <c r="D98" s="28"/>
      <c r="E98" s="28"/>
      <c r="F98" s="19" t="s">
        <v>37</v>
      </c>
      <c r="G98" s="19" t="s">
        <v>38</v>
      </c>
      <c r="H98" s="20" t="s">
        <v>39</v>
      </c>
      <c r="I98" s="20" t="s">
        <v>40</v>
      </c>
      <c r="J98" s="19"/>
      <c r="K98" s="19"/>
    </row>
    <row r="99" spans="1:11" ht="18.75">
      <c r="A99" s="47"/>
      <c r="B99" s="1"/>
      <c r="C99" s="63"/>
      <c r="D99" s="55"/>
      <c r="F99" s="18"/>
      <c r="G99" s="18"/>
      <c r="H99" s="18"/>
      <c r="I99" s="18"/>
      <c r="J99" s="1"/>
      <c r="K99" s="1"/>
    </row>
    <row r="100" spans="1:11" ht="18.75">
      <c r="A100" s="47"/>
      <c r="B100" s="1"/>
      <c r="C100" s="63"/>
      <c r="D100" s="55"/>
      <c r="F100" s="18"/>
      <c r="G100" s="18"/>
      <c r="H100" s="18"/>
      <c r="I100" s="18"/>
      <c r="J100" s="1"/>
      <c r="K100" s="1"/>
    </row>
    <row r="101" spans="1:11" ht="18.75">
      <c r="A101" s="47"/>
      <c r="B101" s="1"/>
      <c r="C101" s="63"/>
      <c r="D101" s="55"/>
      <c r="F101" s="18"/>
      <c r="G101" s="18"/>
      <c r="H101" s="18"/>
      <c r="I101" s="18"/>
      <c r="J101" s="1"/>
      <c r="K101" s="1"/>
    </row>
    <row r="102" spans="1:11" ht="18.75">
      <c r="A102" s="47"/>
      <c r="B102" s="1"/>
      <c r="C102" s="63"/>
      <c r="D102" s="55"/>
      <c r="F102" s="18"/>
      <c r="G102" s="18"/>
      <c r="H102" s="18"/>
      <c r="I102" s="18"/>
      <c r="J102" s="1"/>
      <c r="K102" s="1"/>
    </row>
    <row r="103" spans="1:11" ht="18.75">
      <c r="A103" s="47"/>
      <c r="B103" s="1"/>
      <c r="C103" s="63"/>
      <c r="D103" s="55"/>
      <c r="F103" s="18"/>
      <c r="G103" s="18"/>
      <c r="H103" s="18"/>
      <c r="I103" s="18"/>
      <c r="J103" s="1"/>
      <c r="K103" s="1"/>
    </row>
    <row r="104" spans="1:11" ht="18.75">
      <c r="A104" s="47"/>
      <c r="B104" s="1"/>
      <c r="C104" s="63"/>
      <c r="D104" s="55"/>
      <c r="F104" s="18"/>
      <c r="G104" s="18"/>
      <c r="H104" s="18"/>
      <c r="I104" s="18"/>
      <c r="J104" s="1"/>
      <c r="K104" s="1"/>
    </row>
    <row r="105" spans="1:11" ht="18.75">
      <c r="A105" s="47"/>
      <c r="B105" s="1"/>
      <c r="C105" s="63"/>
      <c r="D105" s="55"/>
      <c r="F105" s="18"/>
      <c r="G105" s="18"/>
      <c r="H105" s="18"/>
      <c r="I105" s="18"/>
      <c r="J105" s="1"/>
      <c r="K105" s="1"/>
    </row>
    <row r="106" spans="1:11">
      <c r="A106" s="47"/>
      <c r="B106" s="1"/>
      <c r="C106" s="1"/>
      <c r="F106" s="18"/>
      <c r="G106" s="18"/>
      <c r="H106" s="18"/>
      <c r="I106" s="18"/>
      <c r="J106" s="1"/>
      <c r="K106" s="1"/>
    </row>
    <row r="107" spans="1:11">
      <c r="A107" s="1"/>
      <c r="B107" s="1"/>
      <c r="C107" s="1"/>
      <c r="F107" s="18"/>
      <c r="G107" s="18"/>
      <c r="H107" s="18"/>
      <c r="I107" s="18"/>
      <c r="J107" s="1"/>
      <c r="K107" s="1"/>
    </row>
    <row r="108" spans="1:11">
      <c r="A108" s="1"/>
      <c r="B108" s="1"/>
      <c r="C108" s="1"/>
      <c r="F108" s="1"/>
      <c r="G108" s="53" t="s">
        <v>41</v>
      </c>
      <c r="H108" s="54" t="s">
        <v>42</v>
      </c>
      <c r="I108" s="1"/>
      <c r="J108" s="1"/>
      <c r="K108" s="1"/>
    </row>
  </sheetData>
  <mergeCells count="27">
    <mergeCell ref="K5:K6"/>
    <mergeCell ref="L5:L6"/>
    <mergeCell ref="G5:H5"/>
    <mergeCell ref="I5:J5"/>
    <mergeCell ref="F5:F6"/>
    <mergeCell ref="A5:A6"/>
    <mergeCell ref="B5:B6"/>
    <mergeCell ref="E5:E6"/>
    <mergeCell ref="D5:D6"/>
    <mergeCell ref="K79:K80"/>
    <mergeCell ref="F18:G18"/>
    <mergeCell ref="H18:I18"/>
    <mergeCell ref="J18:J19"/>
    <mergeCell ref="K18:K19"/>
    <mergeCell ref="F79:G79"/>
    <mergeCell ref="E18:E19"/>
    <mergeCell ref="E79:E80"/>
    <mergeCell ref="H79:I79"/>
    <mergeCell ref="J79:J80"/>
    <mergeCell ref="A18:A19"/>
    <mergeCell ref="A79:A80"/>
    <mergeCell ref="A81:A83"/>
    <mergeCell ref="B79:B80"/>
    <mergeCell ref="D79:D80"/>
    <mergeCell ref="B18:B19"/>
    <mergeCell ref="D18:D19"/>
    <mergeCell ref="C18:C19"/>
  </mergeCells>
  <conditionalFormatting sqref="H77">
    <cfRule type="containsText" dxfId="210" priority="186" operator="containsText" text="Success">
      <formula>NOT(ISERROR(SEARCH("Success",H77)))</formula>
    </cfRule>
  </conditionalFormatting>
  <conditionalFormatting sqref="H77">
    <cfRule type="containsText" dxfId="209" priority="185" operator="containsText" text="Failure">
      <formula>NOT(ISERROR(SEARCH("Failure",H77)))</formula>
    </cfRule>
  </conditionalFormatting>
  <conditionalFormatting sqref="H108">
    <cfRule type="containsText" dxfId="208" priority="172" operator="containsText" text="Success">
      <formula>NOT(ISERROR(SEARCH("Success",H108)))</formula>
    </cfRule>
  </conditionalFormatting>
  <conditionalFormatting sqref="H108">
    <cfRule type="containsText" dxfId="207" priority="171" operator="containsText" text="Failure">
      <formula>NOT(ISERROR(SEARCH("Failure",H108)))</formula>
    </cfRule>
  </conditionalFormatting>
  <conditionalFormatting sqref="H16">
    <cfRule type="containsText" dxfId="206" priority="166" operator="containsText" text="Success">
      <formula>NOT(ISERROR(SEARCH("Success",H16)))</formula>
    </cfRule>
  </conditionalFormatting>
  <conditionalFormatting sqref="H16">
    <cfRule type="containsText" dxfId="205" priority="165" operator="containsText" text="Failure">
      <formula>NOT(ISERROR(SEARCH("Failure",H16)))</formula>
    </cfRule>
  </conditionalFormatting>
  <conditionalFormatting sqref="E39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{226FE996-454E-4D59-94BB-E140BC15A190}</x14:id>
        </ext>
      </extLst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{8F233516-6751-4735-A52F-646A34438A44}</x14:id>
        </ext>
      </extLst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{4C5A3359-DFB6-4122-A417-D9D93883C808}</x14:id>
        </ext>
      </extLst>
    </cfRule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2:E43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{46E064CE-B236-4C12-8E60-5089DE0DC3CE}</x14:id>
        </ext>
      </extLst>
    </cfRule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E46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{BCA5432C-693C-4762-AF1A-6D18FE626964}</x14:id>
        </ext>
      </extLst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{B1862AE1-95DB-4569-B78F-C77A0338B3D1}</x14:id>
        </ext>
      </extLst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{A7B3DD17-78F7-4D4E-86FA-E9809DAF8545}</x14:id>
        </ext>
      </extLst>
    </cfRule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{EA5E0919-B34B-467B-B5CB-40521B9EAF7F}</x14:id>
        </ext>
      </extLst>
    </cfRule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{3BB9D783-87E6-4F13-BD66-4D0FC5256D19}</x14:id>
        </ext>
      </extLst>
    </cfRule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4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{86AEAC1C-8D15-49E7-AEF8-3632C8625C1A}</x14:id>
        </ext>
      </extLst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{B6D96A8D-DB54-4AFC-8BCA-AB71454BA268}</x14:id>
        </ext>
      </extLst>
    </cfRule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6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{6F62B591-2AA7-4000-8243-B4F24F82FF6A}</x14:id>
        </ext>
      </extLst>
    </cfRule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0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{4EAC6489-F2B0-4166-9E1A-A5C722EA20B3}</x14:id>
        </ext>
      </extLst>
    </cfRule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8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{5A0CAE62-52EB-4FEC-B469-32F5DC5BFFF6}</x14:id>
        </ext>
      </extLst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{8AE501F0-2FFF-4405-B813-EAD636F2CD97}</x14:id>
        </ext>
      </extLst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9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{60326D07-EC8E-426B-8DA6-11EBDE043219}</x14:id>
        </ext>
      </extLst>
    </cfRule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6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{193007F5-6020-43BB-BAF9-93CAFDE12FF0}</x14:id>
        </ext>
      </extLst>
    </cfRule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7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{F87BED65-63BD-4704-B39F-442CA52D17E8}</x14:id>
        </ext>
      </extLst>
    </cfRule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8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{1466E852-78D8-4666-883E-1D0731F003A0}</x14:id>
        </ext>
      </extLst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{0288EE67-0BDF-489A-9017-A9086519DCAF}</x14:id>
        </ext>
      </extLst>
    </cfRule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{64FA759E-72F5-40FC-9033-00224A0CAA01}</x14:id>
        </ext>
      </extLst>
    </cfRule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6FE996-454E-4D59-94BB-E140BC15A1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E39</xm:sqref>
        </x14:conditionalFormatting>
        <x14:conditionalFormatting xmlns:xm="http://schemas.microsoft.com/office/excel/2006/main">
          <x14:cfRule type="dataBar" id="{8F233516-6751-4735-A52F-646A34438A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E41</xm:sqref>
        </x14:conditionalFormatting>
        <x14:conditionalFormatting xmlns:xm="http://schemas.microsoft.com/office/excel/2006/main">
          <x14:cfRule type="dataBar" id="{4C5A3359-DFB6-4122-A417-D9D93883C8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E44</xm:sqref>
        </x14:conditionalFormatting>
        <x14:conditionalFormatting xmlns:xm="http://schemas.microsoft.com/office/excel/2006/main">
          <x14:cfRule type="dataBar" id="{46E064CE-B236-4C12-8E60-5089DE0DC3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E42:E43</xm:sqref>
        </x14:conditionalFormatting>
        <x14:conditionalFormatting xmlns:xm="http://schemas.microsoft.com/office/excel/2006/main">
          <x14:cfRule type="dataBar" id="{BCA5432C-693C-4762-AF1A-6D18FE6269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E45:E46</xm:sqref>
        </x14:conditionalFormatting>
        <x14:conditionalFormatting xmlns:xm="http://schemas.microsoft.com/office/excel/2006/main">
          <x14:cfRule type="dataBar" id="{B1862AE1-95DB-4569-B78F-C77A0338B3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E40</xm:sqref>
        </x14:conditionalFormatting>
        <x14:conditionalFormatting xmlns:xm="http://schemas.microsoft.com/office/excel/2006/main">
          <x14:cfRule type="dataBar" id="{A7B3DD17-78F7-4D4E-86FA-E9809DAF8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E48</xm:sqref>
        </x14:conditionalFormatting>
        <x14:conditionalFormatting xmlns:xm="http://schemas.microsoft.com/office/excel/2006/main">
          <x14:cfRule type="dataBar" id="{EA5E0919-B34B-467B-B5CB-40521B9EAF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E49</xm:sqref>
        </x14:conditionalFormatting>
        <x14:conditionalFormatting xmlns:xm="http://schemas.microsoft.com/office/excel/2006/main">
          <x14:cfRule type="dataBar" id="{3BB9D783-87E6-4F13-BD66-4D0FC5256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E51</xm:sqref>
        </x14:conditionalFormatting>
        <x14:conditionalFormatting xmlns:xm="http://schemas.microsoft.com/office/excel/2006/main">
          <x14:cfRule type="dataBar" id="{86AEAC1C-8D15-49E7-AEF8-3632C8625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E64</xm:sqref>
        </x14:conditionalFormatting>
        <x14:conditionalFormatting xmlns:xm="http://schemas.microsoft.com/office/excel/2006/main">
          <x14:cfRule type="dataBar" id="{B6D96A8D-DB54-4AFC-8BCA-AB71454BA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E53</xm:sqref>
        </x14:conditionalFormatting>
        <x14:conditionalFormatting xmlns:xm="http://schemas.microsoft.com/office/excel/2006/main">
          <x14:cfRule type="dataBar" id="{6F62B591-2AA7-4000-8243-B4F24F82FF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E66</xm:sqref>
        </x14:conditionalFormatting>
        <x14:conditionalFormatting xmlns:xm="http://schemas.microsoft.com/office/excel/2006/main">
          <x14:cfRule type="dataBar" id="{4EAC6489-F2B0-4166-9E1A-A5C722EA20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E70</xm:sqref>
        </x14:conditionalFormatting>
        <x14:conditionalFormatting xmlns:xm="http://schemas.microsoft.com/office/excel/2006/main">
          <x14:cfRule type="dataBar" id="{5A0CAE62-52EB-4FEC-B469-32F5DC5BFF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E68</xm:sqref>
        </x14:conditionalFormatting>
        <x14:conditionalFormatting xmlns:xm="http://schemas.microsoft.com/office/excel/2006/main">
          <x14:cfRule type="dataBar" id="{8AE501F0-2FFF-4405-B813-EAD636F2CD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E62</xm:sqref>
        </x14:conditionalFormatting>
        <x14:conditionalFormatting xmlns:xm="http://schemas.microsoft.com/office/excel/2006/main">
          <x14:cfRule type="dataBar" id="{60326D07-EC8E-426B-8DA6-11EBDE0432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E59</xm:sqref>
        </x14:conditionalFormatting>
        <x14:conditionalFormatting xmlns:xm="http://schemas.microsoft.com/office/excel/2006/main">
          <x14:cfRule type="dataBar" id="{193007F5-6020-43BB-BAF9-93CAFDE12F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E56</xm:sqref>
        </x14:conditionalFormatting>
        <x14:conditionalFormatting xmlns:xm="http://schemas.microsoft.com/office/excel/2006/main">
          <x14:cfRule type="dataBar" id="{F87BED65-63BD-4704-B39F-442CA52D17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E57</xm:sqref>
        </x14:conditionalFormatting>
        <x14:conditionalFormatting xmlns:xm="http://schemas.microsoft.com/office/excel/2006/main">
          <x14:cfRule type="dataBar" id="{1466E852-78D8-4666-883E-1D0731F003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E58</xm:sqref>
        </x14:conditionalFormatting>
        <x14:conditionalFormatting xmlns:xm="http://schemas.microsoft.com/office/excel/2006/main">
          <x14:cfRule type="dataBar" id="{0288EE67-0BDF-489A-9017-A9086519D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E55</xm:sqref>
        </x14:conditionalFormatting>
        <x14:conditionalFormatting xmlns:xm="http://schemas.microsoft.com/office/excel/2006/main">
          <x14:cfRule type="dataBar" id="{64FA759E-72F5-40FC-9033-00224A0CA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E61</xm:sqref>
        </x14:conditionalFormatting>
        <x14:conditionalFormatting xmlns:xm="http://schemas.microsoft.com/office/excel/2006/main">
          <x14:cfRule type="containsText" priority="220" operator="containsText" id="{1EAD69F3-324E-43BF-A058-7668169EAB27}">
            <xm:f>NOT(ISERROR(SEARCH(Datasheet!$A$1,J7)))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J81:J96 K7:K15</xm:sqref>
        </x14:conditionalFormatting>
        <x14:conditionalFormatting xmlns:xm="http://schemas.microsoft.com/office/excel/2006/main">
          <x14:cfRule type="containsText" priority="219" operator="containsText" id="{B41F9E8D-809C-47A6-8445-597D1F24A217}">
            <xm:f>NOT(ISERROR(SEARCH(Datasheet!$A$2,J7)))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J81:J96 K7:K15</xm:sqref>
        </x14:conditionalFormatting>
        <x14:conditionalFormatting xmlns:xm="http://schemas.microsoft.com/office/excel/2006/main">
          <x14:cfRule type="containsText" priority="218" operator="containsText" id="{A197DC50-0F32-4731-8C58-B66799F0D1E4}">
            <xm:f>NOT(ISERROR(SEARCH(Datasheet!$A$3,J7)))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J81:J96 K7:K15</xm:sqref>
        </x14:conditionalFormatting>
        <x14:conditionalFormatting xmlns:xm="http://schemas.microsoft.com/office/excel/2006/main">
          <x14:cfRule type="containsText" priority="217" operator="containsText" id="{4BA94507-B41C-494F-B54F-7FC02FEE537D}">
            <xm:f>NOT(ISERROR(SEARCH(Datasheet!$A$4,J7)))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J81:J96 K7:K15</xm:sqref>
        </x14:conditionalFormatting>
        <x14:conditionalFormatting xmlns:xm="http://schemas.microsoft.com/office/excel/2006/main">
          <x14:cfRule type="containsText" priority="170" operator="containsText" id="{CA208033-F249-4739-BDC9-EB24BA8B5A2B}">
            <xm:f>NOT(ISERROR(SEARCH(Datasheet!$A$1,J99)))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J99:J106</xm:sqref>
        </x14:conditionalFormatting>
        <x14:conditionalFormatting xmlns:xm="http://schemas.microsoft.com/office/excel/2006/main">
          <x14:cfRule type="containsText" priority="169" operator="containsText" id="{7E74ECE0-1729-4F78-B8E9-965DC0EFD62E}">
            <xm:f>NOT(ISERROR(SEARCH(Datasheet!$A$2,J99)))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J99:J106</xm:sqref>
        </x14:conditionalFormatting>
        <x14:conditionalFormatting xmlns:xm="http://schemas.microsoft.com/office/excel/2006/main">
          <x14:cfRule type="containsText" priority="168" operator="containsText" id="{2A93581D-F7CB-4EBB-A073-6032E12EF458}">
            <xm:f>NOT(ISERROR(SEARCH(Datasheet!$A$3,J99)))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J99:J106</xm:sqref>
        </x14:conditionalFormatting>
        <x14:conditionalFormatting xmlns:xm="http://schemas.microsoft.com/office/excel/2006/main">
          <x14:cfRule type="containsText" priority="167" operator="containsText" id="{21297E93-5645-47CB-A53D-59AB39A0B7C6}">
            <xm:f>NOT(ISERROR(SEARCH(Datasheet!$A$4,J99)))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J99:J106</xm:sqref>
        </x14:conditionalFormatting>
        <x14:conditionalFormatting xmlns:xm="http://schemas.microsoft.com/office/excel/2006/main">
          <x14:cfRule type="containsText" priority="164" operator="containsText" id="{9697C309-7B2D-4941-AF63-0E0BD449FBDE}">
            <xm:f>NOT(ISERROR(SEARCH(Datasheet!$A$1,J20)))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J20:J29</xm:sqref>
        </x14:conditionalFormatting>
        <x14:conditionalFormatting xmlns:xm="http://schemas.microsoft.com/office/excel/2006/main">
          <x14:cfRule type="containsText" priority="163" operator="containsText" id="{9CAF4E6B-D156-494B-9F44-493FE813D7F3}">
            <xm:f>NOT(ISERROR(SEARCH(Datasheet!$A$2,J20)))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J20:J29</xm:sqref>
        </x14:conditionalFormatting>
        <x14:conditionalFormatting xmlns:xm="http://schemas.microsoft.com/office/excel/2006/main">
          <x14:cfRule type="containsText" priority="162" operator="containsText" id="{B6FF03C8-F0E6-4D67-AE99-8381BE1FBB14}">
            <xm:f>NOT(ISERROR(SEARCH(Datasheet!$A$3,J20)))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J20:J29</xm:sqref>
        </x14:conditionalFormatting>
        <x14:conditionalFormatting xmlns:xm="http://schemas.microsoft.com/office/excel/2006/main">
          <x14:cfRule type="containsText" priority="161" operator="containsText" id="{20181591-1B91-40E4-B22D-F54D101E5ECA}">
            <xm:f>NOT(ISERROR(SEARCH(Datasheet!$A$4,J20)))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J20:J29</xm:sqref>
        </x14:conditionalFormatting>
        <x14:conditionalFormatting xmlns:xm="http://schemas.microsoft.com/office/excel/2006/main">
          <x14:cfRule type="containsText" priority="160" operator="containsText" id="{F82602B2-1AD4-45EC-9F4A-3D7D8670507F}">
            <xm:f>NOT(ISERROR(SEARCH(Datasheet!$A$1,J31)))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159" operator="containsText" id="{B6C6C2BD-3A8E-430B-8648-A703F7436806}">
            <xm:f>NOT(ISERROR(SEARCH(Datasheet!$A$2,J31)))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158" operator="containsText" id="{0FD55D31-32D2-4F61-85A6-AE4CE754010A}">
            <xm:f>NOT(ISERROR(SEARCH(Datasheet!$A$3,J31)))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157" operator="containsText" id="{1378FA47-EAAC-4478-86B7-57448C5F7372}">
            <xm:f>NOT(ISERROR(SEARCH(Datasheet!$A$4,J31)))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156" operator="containsText" id="{0B6424A4-A21A-43E1-A5D7-D653FA089244}">
            <xm:f>NOT(ISERROR(SEARCH(Datasheet!$A$1,J32)))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J32</xm:sqref>
        </x14:conditionalFormatting>
        <x14:conditionalFormatting xmlns:xm="http://schemas.microsoft.com/office/excel/2006/main">
          <x14:cfRule type="containsText" priority="155" operator="containsText" id="{B64AFE00-CFA5-4F95-87A9-9A2482617A85}">
            <xm:f>NOT(ISERROR(SEARCH(Datasheet!$A$2,J32)))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J32</xm:sqref>
        </x14:conditionalFormatting>
        <x14:conditionalFormatting xmlns:xm="http://schemas.microsoft.com/office/excel/2006/main">
          <x14:cfRule type="containsText" priority="154" operator="containsText" id="{C9BFF444-AB1C-4200-B879-DF2120BE6DA5}">
            <xm:f>NOT(ISERROR(SEARCH(Datasheet!$A$3,J32)))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J32</xm:sqref>
        </x14:conditionalFormatting>
        <x14:conditionalFormatting xmlns:xm="http://schemas.microsoft.com/office/excel/2006/main">
          <x14:cfRule type="containsText" priority="153" operator="containsText" id="{11F4C85D-5D3C-412D-970E-B9EB2EA14278}">
            <xm:f>NOT(ISERROR(SEARCH(Datasheet!$A$4,J32)))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J32</xm:sqref>
        </x14:conditionalFormatting>
        <x14:conditionalFormatting xmlns:xm="http://schemas.microsoft.com/office/excel/2006/main">
          <x14:cfRule type="containsText" priority="152" operator="containsText" id="{F419D1C6-7D36-4674-B1B0-3ADBBA5A6FF3}">
            <xm:f>NOT(ISERROR(SEARCH(Datasheet!$A$1,J33)))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J33:J37</xm:sqref>
        </x14:conditionalFormatting>
        <x14:conditionalFormatting xmlns:xm="http://schemas.microsoft.com/office/excel/2006/main">
          <x14:cfRule type="containsText" priority="151" operator="containsText" id="{0579323E-F708-46D3-BFE4-47E82549E25B}">
            <xm:f>NOT(ISERROR(SEARCH(Datasheet!$A$2,J33)))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J33:J37</xm:sqref>
        </x14:conditionalFormatting>
        <x14:conditionalFormatting xmlns:xm="http://schemas.microsoft.com/office/excel/2006/main">
          <x14:cfRule type="containsText" priority="150" operator="containsText" id="{DA30F229-9C08-464D-B380-2B8529015ACC}">
            <xm:f>NOT(ISERROR(SEARCH(Datasheet!$A$3,J33)))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J33:J37</xm:sqref>
        </x14:conditionalFormatting>
        <x14:conditionalFormatting xmlns:xm="http://schemas.microsoft.com/office/excel/2006/main">
          <x14:cfRule type="containsText" priority="149" operator="containsText" id="{E092EF1C-7904-433B-BDE8-D98C7ADDEBC6}">
            <xm:f>NOT(ISERROR(SEARCH(Datasheet!$A$4,J33)))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J33:J37</xm:sqref>
        </x14:conditionalFormatting>
        <x14:conditionalFormatting xmlns:xm="http://schemas.microsoft.com/office/excel/2006/main">
          <x14:cfRule type="containsText" priority="98" operator="containsText" id="{580D5DAF-BD15-4831-B922-43D1AE1EF02A}">
            <xm:f>NOT(ISERROR(SEARCH(Datasheet!$A$1,J45)))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97" operator="containsText" id="{BA4FB9FF-FCF5-4986-8D83-8DEC71E5D998}">
            <xm:f>NOT(ISERROR(SEARCH(Datasheet!$A$2,J45)))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96" operator="containsText" id="{10EF2530-1881-42DF-BE37-491CE41234DA}">
            <xm:f>NOT(ISERROR(SEARCH(Datasheet!$A$3,J45)))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95" operator="containsText" id="{89F5E57D-C2C9-4B9F-9367-1FC63854F1F5}">
            <xm:f>NOT(ISERROR(SEARCH(Datasheet!$A$4,J45)))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J45:J46</xm:sqref>
        </x14:conditionalFormatting>
        <x14:conditionalFormatting xmlns:xm="http://schemas.microsoft.com/office/excel/2006/main">
          <x14:cfRule type="containsText" priority="94" operator="containsText" id="{445B1CA8-CB31-4D75-AA73-28FAF65007B1}">
            <xm:f>NOT(ISERROR(SEARCH(Datasheet!$A$1,J41)))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J41:J44</xm:sqref>
        </x14:conditionalFormatting>
        <x14:conditionalFormatting xmlns:xm="http://schemas.microsoft.com/office/excel/2006/main">
          <x14:cfRule type="containsText" priority="93" operator="containsText" id="{094457CD-F06D-4117-99C8-82589B2C7142}">
            <xm:f>NOT(ISERROR(SEARCH(Datasheet!$A$2,J41)))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J41:J44</xm:sqref>
        </x14:conditionalFormatting>
        <x14:conditionalFormatting xmlns:xm="http://schemas.microsoft.com/office/excel/2006/main">
          <x14:cfRule type="containsText" priority="92" operator="containsText" id="{4496AD46-16ED-464F-B094-0E0D65C56FEA}">
            <xm:f>NOT(ISERROR(SEARCH(Datasheet!$A$3,J41)))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J41:J44</xm:sqref>
        </x14:conditionalFormatting>
        <x14:conditionalFormatting xmlns:xm="http://schemas.microsoft.com/office/excel/2006/main">
          <x14:cfRule type="containsText" priority="91" operator="containsText" id="{B3686B6E-4B9C-44A0-8D04-EC81EB497CC5}">
            <xm:f>NOT(ISERROR(SEARCH(Datasheet!$A$4,J41)))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J41:J44</xm:sqref>
        </x14:conditionalFormatting>
        <x14:conditionalFormatting xmlns:xm="http://schemas.microsoft.com/office/excel/2006/main">
          <x14:cfRule type="containsText" priority="90" operator="containsText" id="{3B983B8C-F00A-48F3-899C-B28BA3807815}">
            <xm:f>NOT(ISERROR(SEARCH(Datasheet!$A$1,J48)))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J48</xm:sqref>
        </x14:conditionalFormatting>
        <x14:conditionalFormatting xmlns:xm="http://schemas.microsoft.com/office/excel/2006/main">
          <x14:cfRule type="containsText" priority="89" operator="containsText" id="{0F30DCC8-0F4C-4DF5-B07F-6412D8EB59E4}">
            <xm:f>NOT(ISERROR(SEARCH(Datasheet!$A$2,J48)))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J48</xm:sqref>
        </x14:conditionalFormatting>
        <x14:conditionalFormatting xmlns:xm="http://schemas.microsoft.com/office/excel/2006/main">
          <x14:cfRule type="containsText" priority="88" operator="containsText" id="{E5492230-8D1D-4F1A-B9BE-B9A5EB6A4480}">
            <xm:f>NOT(ISERROR(SEARCH(Datasheet!$A$3,J48)))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J48</xm:sqref>
        </x14:conditionalFormatting>
        <x14:conditionalFormatting xmlns:xm="http://schemas.microsoft.com/office/excel/2006/main">
          <x14:cfRule type="containsText" priority="87" operator="containsText" id="{B920939B-F271-4D14-8FA8-F47B30AEB233}">
            <xm:f>NOT(ISERROR(SEARCH(Datasheet!$A$4,J48)))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J48</xm:sqref>
        </x14:conditionalFormatting>
        <x14:conditionalFormatting xmlns:xm="http://schemas.microsoft.com/office/excel/2006/main">
          <x14:cfRule type="containsText" priority="86" operator="containsText" id="{6F4D806F-9DE0-44FE-AF6E-C6599F9E6B9E}">
            <xm:f>NOT(ISERROR(SEARCH(Datasheet!$A$1,J53)))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85" operator="containsText" id="{43C2EF30-40B2-4C90-8F21-1EA8500F7C73}">
            <xm:f>NOT(ISERROR(SEARCH(Datasheet!$A$2,J53)))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84" operator="containsText" id="{D639A5CA-EDF4-43D7-A418-494B17C59A53}">
            <xm:f>NOT(ISERROR(SEARCH(Datasheet!$A$3,J53)))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83" operator="containsText" id="{7F2EEE60-CEF2-473C-8D7B-8F8E5973E087}">
            <xm:f>NOT(ISERROR(SEARCH(Datasheet!$A$4,J53)))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72" operator="containsText" id="{557C6B93-AC5D-456E-B7B5-9AAD76974E9E}">
            <xm:f>NOT(ISERROR(SEARCH(Datasheet!$A$1,J39)))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J39</xm:sqref>
        </x14:conditionalFormatting>
        <x14:conditionalFormatting xmlns:xm="http://schemas.microsoft.com/office/excel/2006/main">
          <x14:cfRule type="containsText" priority="71" operator="containsText" id="{E33B021B-5805-4F84-A190-06C62F41AC49}">
            <xm:f>NOT(ISERROR(SEARCH(Datasheet!$A$2,J39)))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J39</xm:sqref>
        </x14:conditionalFormatting>
        <x14:conditionalFormatting xmlns:xm="http://schemas.microsoft.com/office/excel/2006/main">
          <x14:cfRule type="containsText" priority="70" operator="containsText" id="{A2FBF7C4-EE4C-409A-9FA2-E3603CE53D08}">
            <xm:f>NOT(ISERROR(SEARCH(Datasheet!$A$3,J39)))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J39</xm:sqref>
        </x14:conditionalFormatting>
        <x14:conditionalFormatting xmlns:xm="http://schemas.microsoft.com/office/excel/2006/main">
          <x14:cfRule type="containsText" priority="69" operator="containsText" id="{EE00A196-0943-48DD-BE56-EDF71E0DDD20}">
            <xm:f>NOT(ISERROR(SEARCH(Datasheet!$A$4,J39)))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J39</xm:sqref>
        </x14:conditionalFormatting>
        <x14:conditionalFormatting xmlns:xm="http://schemas.microsoft.com/office/excel/2006/main">
          <x14:cfRule type="containsText" priority="68" operator="containsText" id="{7E828375-45F9-4A39-A27A-593D479F5B8F}">
            <xm:f>NOT(ISERROR(SEARCH(Datasheet!$A$1,J40)))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J40</xm:sqref>
        </x14:conditionalFormatting>
        <x14:conditionalFormatting xmlns:xm="http://schemas.microsoft.com/office/excel/2006/main">
          <x14:cfRule type="containsText" priority="67" operator="containsText" id="{78638AAB-4D97-41C7-A76C-113CABAAA1D0}">
            <xm:f>NOT(ISERROR(SEARCH(Datasheet!$A$2,J40)))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J40</xm:sqref>
        </x14:conditionalFormatting>
        <x14:conditionalFormatting xmlns:xm="http://schemas.microsoft.com/office/excel/2006/main">
          <x14:cfRule type="containsText" priority="66" operator="containsText" id="{E163CC3E-9FE9-4AD9-9B26-3A777E4A4F0B}">
            <xm:f>NOT(ISERROR(SEARCH(Datasheet!$A$3,J40)))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J40</xm:sqref>
        </x14:conditionalFormatting>
        <x14:conditionalFormatting xmlns:xm="http://schemas.microsoft.com/office/excel/2006/main">
          <x14:cfRule type="containsText" priority="65" operator="containsText" id="{21FD339B-6C4E-478E-9FA9-7CBDD280052F}">
            <xm:f>NOT(ISERROR(SEARCH(Datasheet!$A$4,J40)))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J40</xm:sqref>
        </x14:conditionalFormatting>
        <x14:conditionalFormatting xmlns:xm="http://schemas.microsoft.com/office/excel/2006/main">
          <x14:cfRule type="containsText" priority="64" operator="containsText" id="{3DD47C6B-0FA6-49D8-8A09-5E1788CFCBE7}">
            <xm:f>NOT(ISERROR(SEARCH(Datasheet!$A$1,J49)))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63" operator="containsText" id="{298F86C5-7577-49F8-88F1-59EDFF3E5D1A}">
            <xm:f>NOT(ISERROR(SEARCH(Datasheet!$A$2,J49)))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62" operator="containsText" id="{8A421327-3250-42D2-B01B-968E0F800434}">
            <xm:f>NOT(ISERROR(SEARCH(Datasheet!$A$3,J49)))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61" operator="containsText" id="{413CA4A7-CCB2-4754-A1FC-DFAC13232DA5}">
            <xm:f>NOT(ISERROR(SEARCH(Datasheet!$A$4,J49)))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60" operator="containsText" id="{0113C9E7-AB70-4DA6-9C87-67AEC67FA8FA}">
            <xm:f>NOT(ISERROR(SEARCH(Datasheet!$A$1,J51)))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59" operator="containsText" id="{908B80FC-B542-4E09-984F-49D9E36FA0A9}">
            <xm:f>NOT(ISERROR(SEARCH(Datasheet!$A$2,J51)))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58" operator="containsText" id="{6F38C244-384D-4DED-AD69-2F65735FDADA}">
            <xm:f>NOT(ISERROR(SEARCH(Datasheet!$A$3,J51)))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57" operator="containsText" id="{FF922A55-3DC5-4963-858D-8A4F4952C28C}">
            <xm:f>NOT(ISERROR(SEARCH(Datasheet!$A$4,J51)))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J51</xm:sqref>
        </x14:conditionalFormatting>
        <x14:conditionalFormatting xmlns:xm="http://schemas.microsoft.com/office/excel/2006/main">
          <x14:cfRule type="containsText" priority="56" operator="containsText" id="{05902A77-2E25-4976-B5B1-EC00F7066E46}">
            <xm:f>NOT(ISERROR(SEARCH(Datasheet!$A$1,J55)))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J55</xm:sqref>
        </x14:conditionalFormatting>
        <x14:conditionalFormatting xmlns:xm="http://schemas.microsoft.com/office/excel/2006/main">
          <x14:cfRule type="containsText" priority="55" operator="containsText" id="{CB05D12A-2401-468F-92D5-B98DB3353F1A}">
            <xm:f>NOT(ISERROR(SEARCH(Datasheet!$A$2,J55)))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J55</xm:sqref>
        </x14:conditionalFormatting>
        <x14:conditionalFormatting xmlns:xm="http://schemas.microsoft.com/office/excel/2006/main">
          <x14:cfRule type="containsText" priority="54" operator="containsText" id="{263C7868-BD1A-4F37-9D59-F0BB3F3C8B75}">
            <xm:f>NOT(ISERROR(SEARCH(Datasheet!$A$3,J55)))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J55</xm:sqref>
        </x14:conditionalFormatting>
        <x14:conditionalFormatting xmlns:xm="http://schemas.microsoft.com/office/excel/2006/main">
          <x14:cfRule type="containsText" priority="53" operator="containsText" id="{BEDFA784-943C-4CCE-BF78-0EE1EA5DADA9}">
            <xm:f>NOT(ISERROR(SEARCH(Datasheet!$A$4,J55)))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J55</xm:sqref>
        </x14:conditionalFormatting>
        <x14:conditionalFormatting xmlns:xm="http://schemas.microsoft.com/office/excel/2006/main">
          <x14:cfRule type="containsText" priority="52" operator="containsText" id="{937706F0-C642-444E-867A-75CE5F3F2B94}">
            <xm:f>NOT(ISERROR(SEARCH(Datasheet!$A$1,J56)))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51" operator="containsText" id="{69C4B108-B13F-4105-9F71-D40018AAE43D}">
            <xm:f>NOT(ISERROR(SEARCH(Datasheet!$A$2,J56)))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50" operator="containsText" id="{FF5CDB06-24E9-4A60-AE71-CF89200A8FDF}">
            <xm:f>NOT(ISERROR(SEARCH(Datasheet!$A$3,J56)))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49" operator="containsText" id="{7AE0A05B-D738-407A-AE1B-EFE99876BF88}">
            <xm:f>NOT(ISERROR(SEARCH(Datasheet!$A$4,J56)))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48" operator="containsText" id="{AB42FAEA-4D03-4A74-A4E0-2733A712ACBD}">
            <xm:f>NOT(ISERROR(SEARCH(Datasheet!$A$1,J58)))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J58</xm:sqref>
        </x14:conditionalFormatting>
        <x14:conditionalFormatting xmlns:xm="http://schemas.microsoft.com/office/excel/2006/main">
          <x14:cfRule type="containsText" priority="47" operator="containsText" id="{8982C97B-C8F5-408D-82FA-7D67F2CBE936}">
            <xm:f>NOT(ISERROR(SEARCH(Datasheet!$A$2,J58)))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J58</xm:sqref>
        </x14:conditionalFormatting>
        <x14:conditionalFormatting xmlns:xm="http://schemas.microsoft.com/office/excel/2006/main">
          <x14:cfRule type="containsText" priority="46" operator="containsText" id="{6F1E0AF6-043B-49FF-9F47-25992E4CAC1A}">
            <xm:f>NOT(ISERROR(SEARCH(Datasheet!$A$3,J58)))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J58</xm:sqref>
        </x14:conditionalFormatting>
        <x14:conditionalFormatting xmlns:xm="http://schemas.microsoft.com/office/excel/2006/main">
          <x14:cfRule type="containsText" priority="45" operator="containsText" id="{AE45602A-B9C3-4077-8FCE-B2676007027A}">
            <xm:f>NOT(ISERROR(SEARCH(Datasheet!$A$4,J58)))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J58</xm:sqref>
        </x14:conditionalFormatting>
        <x14:conditionalFormatting xmlns:xm="http://schemas.microsoft.com/office/excel/2006/main">
          <x14:cfRule type="containsText" priority="44" operator="containsText" id="{FBDF27D3-7992-441E-A1FA-8112217311E0}">
            <xm:f>NOT(ISERROR(SEARCH(Datasheet!$A$1,J57)))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43" operator="containsText" id="{C9573492-DB49-4BD8-BA5E-7DB1246F229C}">
            <xm:f>NOT(ISERROR(SEARCH(Datasheet!$A$2,J57)))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42" operator="containsText" id="{CF32D6C1-1C7E-4E70-A315-48439D4A4BFD}">
            <xm:f>NOT(ISERROR(SEARCH(Datasheet!$A$3,J57)))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41" operator="containsText" id="{75BEE814-8EE3-4BC0-8577-6A3EBF32917D}">
            <xm:f>NOT(ISERROR(SEARCH(Datasheet!$A$4,J57)))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40" operator="containsText" id="{678B7471-5CAE-4168-835C-AE2B50B6B92F}">
            <xm:f>NOT(ISERROR(SEARCH(Datasheet!$A$1,J64)))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J64</xm:sqref>
        </x14:conditionalFormatting>
        <x14:conditionalFormatting xmlns:xm="http://schemas.microsoft.com/office/excel/2006/main">
          <x14:cfRule type="containsText" priority="39" operator="containsText" id="{66A3FDEC-B703-47D1-9C56-FBB630951331}">
            <xm:f>NOT(ISERROR(SEARCH(Datasheet!$A$2,J64)))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J64</xm:sqref>
        </x14:conditionalFormatting>
        <x14:conditionalFormatting xmlns:xm="http://schemas.microsoft.com/office/excel/2006/main">
          <x14:cfRule type="containsText" priority="38" operator="containsText" id="{A088957A-9C39-42FC-935A-A84E436E93E9}">
            <xm:f>NOT(ISERROR(SEARCH(Datasheet!$A$3,J64)))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J64</xm:sqref>
        </x14:conditionalFormatting>
        <x14:conditionalFormatting xmlns:xm="http://schemas.microsoft.com/office/excel/2006/main">
          <x14:cfRule type="containsText" priority="37" operator="containsText" id="{7CFD4B08-323B-45C8-A545-6D798EC3AEC4}">
            <xm:f>NOT(ISERROR(SEARCH(Datasheet!$A$4,J64)))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J64</xm:sqref>
        </x14:conditionalFormatting>
        <x14:conditionalFormatting xmlns:xm="http://schemas.microsoft.com/office/excel/2006/main">
          <x14:cfRule type="containsText" priority="36" operator="containsText" id="{BB5AC1B9-7435-4D67-A8DB-B22340C22529}">
            <xm:f>NOT(ISERROR(SEARCH(Datasheet!$A$1,J62)))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J62</xm:sqref>
        </x14:conditionalFormatting>
        <x14:conditionalFormatting xmlns:xm="http://schemas.microsoft.com/office/excel/2006/main">
          <x14:cfRule type="containsText" priority="35" operator="containsText" id="{F10719E3-F427-4AEF-89DF-FFBBA860DDBF}">
            <xm:f>NOT(ISERROR(SEARCH(Datasheet!$A$2,J62)))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J62</xm:sqref>
        </x14:conditionalFormatting>
        <x14:conditionalFormatting xmlns:xm="http://schemas.microsoft.com/office/excel/2006/main">
          <x14:cfRule type="containsText" priority="34" operator="containsText" id="{A45385A2-C8B0-43EC-9A6A-CA9AFEFBB54C}">
            <xm:f>NOT(ISERROR(SEARCH(Datasheet!$A$3,J62)))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J62</xm:sqref>
        </x14:conditionalFormatting>
        <x14:conditionalFormatting xmlns:xm="http://schemas.microsoft.com/office/excel/2006/main">
          <x14:cfRule type="containsText" priority="33" operator="containsText" id="{74DCF7BF-C013-4AFE-9C6D-63ECA0DA74EF}">
            <xm:f>NOT(ISERROR(SEARCH(Datasheet!$A$4,J62)))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J62</xm:sqref>
        </x14:conditionalFormatting>
        <x14:conditionalFormatting xmlns:xm="http://schemas.microsoft.com/office/excel/2006/main">
          <x14:cfRule type="containsText" priority="32" operator="containsText" id="{02E4E4BB-9920-4A6F-8F54-692F1864F688}">
            <xm:f>NOT(ISERROR(SEARCH(Datasheet!$A$1,J66)))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J66</xm:sqref>
        </x14:conditionalFormatting>
        <x14:conditionalFormatting xmlns:xm="http://schemas.microsoft.com/office/excel/2006/main">
          <x14:cfRule type="containsText" priority="31" operator="containsText" id="{E755B8AB-2901-491C-9FED-8C36FD5F4564}">
            <xm:f>NOT(ISERROR(SEARCH(Datasheet!$A$2,J66)))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J66</xm:sqref>
        </x14:conditionalFormatting>
        <x14:conditionalFormatting xmlns:xm="http://schemas.microsoft.com/office/excel/2006/main">
          <x14:cfRule type="containsText" priority="30" operator="containsText" id="{E237C277-7020-4060-A5B9-A743AEAC8F70}">
            <xm:f>NOT(ISERROR(SEARCH(Datasheet!$A$3,J66)))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J66</xm:sqref>
        </x14:conditionalFormatting>
        <x14:conditionalFormatting xmlns:xm="http://schemas.microsoft.com/office/excel/2006/main">
          <x14:cfRule type="containsText" priority="29" operator="containsText" id="{D00C0AA9-15A3-433E-96AD-A4D609919534}">
            <xm:f>NOT(ISERROR(SEARCH(Datasheet!$A$4,J66)))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J66</xm:sqref>
        </x14:conditionalFormatting>
        <x14:conditionalFormatting xmlns:xm="http://schemas.microsoft.com/office/excel/2006/main">
          <x14:cfRule type="containsText" priority="28" operator="containsText" id="{BCB16EBF-CDF6-456A-BEC6-816B5D9BC863}">
            <xm:f>NOT(ISERROR(SEARCH(Datasheet!$A$1,J68)))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J68</xm:sqref>
        </x14:conditionalFormatting>
        <x14:conditionalFormatting xmlns:xm="http://schemas.microsoft.com/office/excel/2006/main">
          <x14:cfRule type="containsText" priority="27" operator="containsText" id="{FEEDEFEE-FAB1-4062-B8F6-A2E4D65644AD}">
            <xm:f>NOT(ISERROR(SEARCH(Datasheet!$A$2,J68)))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J68</xm:sqref>
        </x14:conditionalFormatting>
        <x14:conditionalFormatting xmlns:xm="http://schemas.microsoft.com/office/excel/2006/main">
          <x14:cfRule type="containsText" priority="26" operator="containsText" id="{F044E74A-EF86-4C22-9B33-5839C87AEBCA}">
            <xm:f>NOT(ISERROR(SEARCH(Datasheet!$A$3,J68)))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J68</xm:sqref>
        </x14:conditionalFormatting>
        <x14:conditionalFormatting xmlns:xm="http://schemas.microsoft.com/office/excel/2006/main">
          <x14:cfRule type="containsText" priority="25" operator="containsText" id="{6713FA54-EA66-4383-92D3-763F76053763}">
            <xm:f>NOT(ISERROR(SEARCH(Datasheet!$A$4,J68)))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J68</xm:sqref>
        </x14:conditionalFormatting>
        <x14:conditionalFormatting xmlns:xm="http://schemas.microsoft.com/office/excel/2006/main">
          <x14:cfRule type="containsText" priority="24" operator="containsText" id="{7688111D-AD44-466C-B258-D717D0459249}">
            <xm:f>NOT(ISERROR(SEARCH(Datasheet!$A$1,J70)))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J70</xm:sqref>
        </x14:conditionalFormatting>
        <x14:conditionalFormatting xmlns:xm="http://schemas.microsoft.com/office/excel/2006/main">
          <x14:cfRule type="containsText" priority="23" operator="containsText" id="{F2576B93-B1D5-4082-AE7A-C8E9449CE2A7}">
            <xm:f>NOT(ISERROR(SEARCH(Datasheet!$A$2,J70)))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J70</xm:sqref>
        </x14:conditionalFormatting>
        <x14:conditionalFormatting xmlns:xm="http://schemas.microsoft.com/office/excel/2006/main">
          <x14:cfRule type="containsText" priority="22" operator="containsText" id="{562CCDA2-6484-4092-8452-3EFCC2B48B94}">
            <xm:f>NOT(ISERROR(SEARCH(Datasheet!$A$3,J70)))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J70</xm:sqref>
        </x14:conditionalFormatting>
        <x14:conditionalFormatting xmlns:xm="http://schemas.microsoft.com/office/excel/2006/main">
          <x14:cfRule type="containsText" priority="21" operator="containsText" id="{0673B5EE-0508-44F7-9A74-61A93BFD5214}">
            <xm:f>NOT(ISERROR(SEARCH(Datasheet!$A$4,J70)))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J70</xm:sqref>
        </x14:conditionalFormatting>
        <x14:conditionalFormatting xmlns:xm="http://schemas.microsoft.com/office/excel/2006/main">
          <x14:cfRule type="containsText" priority="20" operator="containsText" id="{8D64A8A2-4C91-4472-966C-B166DA3C7524}">
            <xm:f>NOT(ISERROR(SEARCH(Datasheet!$A$1,J71)))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J71</xm:sqref>
        </x14:conditionalFormatting>
        <x14:conditionalFormatting xmlns:xm="http://schemas.microsoft.com/office/excel/2006/main">
          <x14:cfRule type="containsText" priority="19" operator="containsText" id="{19A9C914-E8B5-48EF-AC61-B433788237AD}">
            <xm:f>NOT(ISERROR(SEARCH(Datasheet!$A$2,J71)))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J71</xm:sqref>
        </x14:conditionalFormatting>
        <x14:conditionalFormatting xmlns:xm="http://schemas.microsoft.com/office/excel/2006/main">
          <x14:cfRule type="containsText" priority="18" operator="containsText" id="{D510045B-87B2-432A-816F-65D1B0109AEF}">
            <xm:f>NOT(ISERROR(SEARCH(Datasheet!$A$3,J71)))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J71</xm:sqref>
        </x14:conditionalFormatting>
        <x14:conditionalFormatting xmlns:xm="http://schemas.microsoft.com/office/excel/2006/main">
          <x14:cfRule type="containsText" priority="17" operator="containsText" id="{FF1880C9-20B6-4E11-A082-D74A41127AC6}">
            <xm:f>NOT(ISERROR(SEARCH(Datasheet!$A$4,J71)))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J71</xm:sqref>
        </x14:conditionalFormatting>
        <x14:conditionalFormatting xmlns:xm="http://schemas.microsoft.com/office/excel/2006/main">
          <x14:cfRule type="containsText" priority="16" operator="containsText" id="{96F852DD-A216-4635-B2D5-3786BDCEC7E1}">
            <xm:f>NOT(ISERROR(SEARCH(Datasheet!$A$1,J61)))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J61</xm:sqref>
        </x14:conditionalFormatting>
        <x14:conditionalFormatting xmlns:xm="http://schemas.microsoft.com/office/excel/2006/main">
          <x14:cfRule type="containsText" priority="15" operator="containsText" id="{E8809E7B-90E5-4651-8CE3-7C5FF5AA17DC}">
            <xm:f>NOT(ISERROR(SEARCH(Datasheet!$A$2,J61)))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J61</xm:sqref>
        </x14:conditionalFormatting>
        <x14:conditionalFormatting xmlns:xm="http://schemas.microsoft.com/office/excel/2006/main">
          <x14:cfRule type="containsText" priority="14" operator="containsText" id="{305347FD-1F97-493B-81E1-29BF4F8DD690}">
            <xm:f>NOT(ISERROR(SEARCH(Datasheet!$A$3,J61)))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J61</xm:sqref>
        </x14:conditionalFormatting>
        <x14:conditionalFormatting xmlns:xm="http://schemas.microsoft.com/office/excel/2006/main">
          <x14:cfRule type="containsText" priority="13" operator="containsText" id="{053D32E0-13CF-4FDD-84AF-E60682D5A70A}">
            <xm:f>NOT(ISERROR(SEARCH(Datasheet!$A$4,J61)))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J61</xm:sqref>
        </x14:conditionalFormatting>
        <x14:conditionalFormatting xmlns:xm="http://schemas.microsoft.com/office/excel/2006/main">
          <x14:cfRule type="containsText" priority="12" operator="containsText" id="{4701596D-E08A-47D5-BE4F-2CC92FD4B243}">
            <xm:f>NOT(ISERROR(SEARCH(Datasheet!$A$1,J59)))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11" operator="containsText" id="{6822140D-BE4D-4931-AE7F-55B8A88257DC}">
            <xm:f>NOT(ISERROR(SEARCH(Datasheet!$A$2,J59)))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10" operator="containsText" id="{1F5396C1-A1E3-47A7-B272-5DFA85F32C1B}">
            <xm:f>NOT(ISERROR(SEARCH(Datasheet!$A$3,J59)))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9" operator="containsText" id="{87E959F2-E6AC-4F8B-8BA0-007CB342F6D3}">
            <xm:f>NOT(ISERROR(SEARCH(Datasheet!$A$4,J59)))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8" operator="containsText" id="{AF159556-4823-4F0E-A58A-BC560343260F}">
            <xm:f>NOT(ISERROR(SEARCH(Datasheet!$A$1,J73)))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7" operator="containsText" id="{7508D164-0427-4A42-810E-8E7AB2314E90}">
            <xm:f>NOT(ISERROR(SEARCH(Datasheet!$A$2,J73)))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6" operator="containsText" id="{D8AC3B46-FE05-4623-9724-9CBC97B24DEE}">
            <xm:f>NOT(ISERROR(SEARCH(Datasheet!$A$3,J73)))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5" operator="containsText" id="{0144859A-E416-4238-8161-3965067FE871}">
            <xm:f>NOT(ISERROR(SEARCH(Datasheet!$A$4,J73)))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J73</xm:sqref>
        </x14:conditionalFormatting>
        <x14:conditionalFormatting xmlns:xm="http://schemas.microsoft.com/office/excel/2006/main">
          <x14:cfRule type="containsText" priority="4" operator="containsText" id="{1429A49A-D881-4CC5-942A-B2E084D22683}">
            <xm:f>NOT(ISERROR(SEARCH(Datasheet!$A$1,J74)))</xm:f>
            <xm:f>Datasheet!$A$1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J74:J75</xm:sqref>
        </x14:conditionalFormatting>
        <x14:conditionalFormatting xmlns:xm="http://schemas.microsoft.com/office/excel/2006/main">
          <x14:cfRule type="containsText" priority="3" operator="containsText" id="{B8F02471-095B-43AF-A3CA-4D709195CA51}">
            <xm:f>NOT(ISERROR(SEARCH(Datasheet!$A$2,J74)))</xm:f>
            <xm:f>Datasheet!$A$2</xm:f>
            <x14:dxf>
              <font>
                <color theme="4" tint="-0.249977111117893"/>
              </font>
              <fill>
                <patternFill patternType="solid">
                  <bgColor rgb="FF8FBBD6"/>
                </patternFill>
              </fill>
            </x14:dxf>
          </x14:cfRule>
          <xm:sqref>J74:J75</xm:sqref>
        </x14:conditionalFormatting>
        <x14:conditionalFormatting xmlns:xm="http://schemas.microsoft.com/office/excel/2006/main">
          <x14:cfRule type="containsText" priority="2" operator="containsText" id="{5EE10328-6941-4F85-9320-032F5EA6BF44}">
            <xm:f>NOT(ISERROR(SEARCH(Datasheet!$A$3,J74)))</xm:f>
            <xm:f>Datasheet!$A$3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J74:J75</xm:sqref>
        </x14:conditionalFormatting>
        <x14:conditionalFormatting xmlns:xm="http://schemas.microsoft.com/office/excel/2006/main">
          <x14:cfRule type="containsText" priority="1" operator="containsText" id="{74730C8D-BD42-4144-9918-60761DDD70A7}">
            <xm:f>NOT(ISERROR(SEARCH(Datasheet!$A$4,J74)))</xm:f>
            <xm:f>Datasheet!$A$4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J74:J75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80E95F-69A6-472E-82B0-A735D33C8A29}">
          <x14:formula1>
            <xm:f>Datasheet!$A$1:$A$4</xm:f>
          </x14:formula1>
          <xm:sqref>J64 J81:J96 J70:J71 J21:J23 J25 J27:J29 J31:J37 J39:J46 J53 J48:J49 J51 J55:J59 J61:J62 J66 J68 J99:J106 J73:J75 K7:K15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B949-8587-45FF-A2BD-FD9FD5576240}">
  <dimension ref="A2:H21"/>
  <sheetViews>
    <sheetView workbookViewId="0">
      <selection activeCell="B1" sqref="B1"/>
    </sheetView>
  </sheetViews>
  <sheetFormatPr defaultRowHeight="15"/>
  <cols>
    <col min="1" max="1" width="31.140625" customWidth="1"/>
    <col min="2" max="2" width="25.5703125" bestFit="1" customWidth="1"/>
    <col min="3" max="3" width="12.5703125" customWidth="1"/>
    <col min="4" max="4" width="17.140625" customWidth="1"/>
    <col min="5" max="5" width="14.5703125" customWidth="1"/>
    <col min="6" max="6" width="20.7109375" customWidth="1"/>
    <col min="7" max="7" width="16.28515625" customWidth="1"/>
    <col min="8" max="8" width="20" customWidth="1"/>
  </cols>
  <sheetData>
    <row r="2" spans="1:8">
      <c r="A2" s="17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</row>
    <row r="3" spans="1:8">
      <c r="B3" s="12" t="s">
        <v>52</v>
      </c>
      <c r="C3" s="1"/>
      <c r="D3" s="1"/>
      <c r="E3" s="1"/>
      <c r="F3" s="1"/>
      <c r="G3" s="1"/>
    </row>
    <row r="4" spans="1:8">
      <c r="B4" s="12" t="s">
        <v>53</v>
      </c>
      <c r="C4" s="13"/>
      <c r="D4" s="13"/>
      <c r="E4" s="13"/>
      <c r="F4" s="13"/>
      <c r="G4" s="13"/>
    </row>
    <row r="5" spans="1:8">
      <c r="B5" s="12" t="s">
        <v>54</v>
      </c>
      <c r="C5" s="14">
        <f>C3+C4</f>
        <v>0</v>
      </c>
      <c r="D5" s="14">
        <f t="shared" ref="D5:G5" si="0">D3+D4</f>
        <v>0</v>
      </c>
      <c r="E5" s="14">
        <f t="shared" si="0"/>
        <v>0</v>
      </c>
      <c r="F5" s="14">
        <f t="shared" si="0"/>
        <v>0</v>
      </c>
      <c r="G5" s="14">
        <f t="shared" si="0"/>
        <v>0</v>
      </c>
    </row>
    <row r="6" spans="1:8" ht="15.75">
      <c r="B6" s="15" t="s">
        <v>55</v>
      </c>
      <c r="C6" s="16">
        <f>C5+D5+E5+F5+G5</f>
        <v>0</v>
      </c>
    </row>
    <row r="9" spans="1:8">
      <c r="A9" s="17" t="s">
        <v>56</v>
      </c>
      <c r="C9" s="2" t="s">
        <v>48</v>
      </c>
      <c r="D9" s="2" t="s">
        <v>49</v>
      </c>
      <c r="E9" s="2" t="s">
        <v>57</v>
      </c>
      <c r="F9" s="2" t="s">
        <v>51</v>
      </c>
      <c r="G9" s="2" t="s">
        <v>47</v>
      </c>
      <c r="H9" s="26"/>
    </row>
    <row r="10" spans="1:8">
      <c r="B10" s="12" t="s">
        <v>52</v>
      </c>
      <c r="C10" s="1"/>
      <c r="D10" s="1"/>
      <c r="E10" s="1"/>
      <c r="F10" s="1"/>
      <c r="G10" s="1"/>
    </row>
    <row r="11" spans="1:8">
      <c r="B11" s="12" t="s">
        <v>53</v>
      </c>
      <c r="C11" s="13"/>
      <c r="D11" s="13"/>
      <c r="E11" s="13"/>
      <c r="F11" s="13"/>
      <c r="G11" s="13"/>
    </row>
    <row r="12" spans="1:8">
      <c r="B12" s="12" t="s">
        <v>54</v>
      </c>
      <c r="C12" s="14">
        <f>C10+C11</f>
        <v>0</v>
      </c>
      <c r="D12" s="14">
        <f t="shared" ref="D12" si="1">D10+D11</f>
        <v>0</v>
      </c>
      <c r="E12" s="14">
        <f t="shared" ref="E12" si="2">E10+E11</f>
        <v>0</v>
      </c>
      <c r="F12" s="14">
        <f t="shared" ref="F12" si="3">F10+F11</f>
        <v>0</v>
      </c>
      <c r="G12" s="14">
        <f t="shared" ref="G12" si="4">G10+G11</f>
        <v>0</v>
      </c>
    </row>
    <row r="13" spans="1:8" ht="15.75">
      <c r="B13" s="15" t="s">
        <v>55</v>
      </c>
      <c r="C13" s="16">
        <f>C12+D12+E12+F12+G12</f>
        <v>0</v>
      </c>
    </row>
    <row r="17" spans="1:7">
      <c r="A17" s="17"/>
      <c r="C17" s="2" t="s">
        <v>49</v>
      </c>
      <c r="D17" s="2" t="s">
        <v>57</v>
      </c>
      <c r="E17" s="2" t="s">
        <v>51</v>
      </c>
      <c r="F17" s="2" t="s">
        <v>47</v>
      </c>
      <c r="G17" s="2" t="s">
        <v>48</v>
      </c>
    </row>
    <row r="18" spans="1:7">
      <c r="B18" s="12" t="s">
        <v>52</v>
      </c>
      <c r="C18" s="1"/>
      <c r="D18" s="1"/>
      <c r="E18" s="1"/>
      <c r="F18" s="1"/>
      <c r="G18" s="1"/>
    </row>
    <row r="19" spans="1:7">
      <c r="B19" s="12" t="s">
        <v>53</v>
      </c>
      <c r="C19" s="13"/>
      <c r="D19" s="13"/>
      <c r="E19" s="13"/>
      <c r="F19" s="13"/>
      <c r="G19" s="13"/>
    </row>
    <row r="20" spans="1:7">
      <c r="B20" s="12" t="s">
        <v>54</v>
      </c>
      <c r="C20" s="14">
        <f>C18+C19</f>
        <v>0</v>
      </c>
      <c r="D20" s="14">
        <f t="shared" ref="D20" si="5">D18+D19</f>
        <v>0</v>
      </c>
      <c r="E20" s="14">
        <f t="shared" ref="E20" si="6">E18+E19</f>
        <v>0</v>
      </c>
      <c r="F20" s="14">
        <f t="shared" ref="F20" si="7">F18+F19</f>
        <v>0</v>
      </c>
      <c r="G20" s="14">
        <f t="shared" ref="G20" si="8">G18+G19</f>
        <v>0</v>
      </c>
    </row>
    <row r="21" spans="1:7" ht="15.75">
      <c r="B21" s="15" t="s">
        <v>55</v>
      </c>
      <c r="C21" s="16">
        <f>C20+D20+E20+F20+G20</f>
        <v>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6CFF-2EE8-4753-8542-B5730C81C978}">
  <dimension ref="A2:P52"/>
  <sheetViews>
    <sheetView workbookViewId="0"/>
  </sheetViews>
  <sheetFormatPr defaultRowHeight="15"/>
  <cols>
    <col min="3" max="3" width="71.42578125" customWidth="1"/>
    <col min="4" max="4" width="27.42578125" customWidth="1"/>
    <col min="5" max="5" width="11" style="10" hidden="1" customWidth="1"/>
    <col min="6" max="6" width="12.5703125" customWidth="1"/>
    <col min="7" max="7" width="21.28515625" customWidth="1"/>
    <col min="8" max="8" width="71" customWidth="1"/>
    <col min="9" max="9" width="1.5703125" style="10" customWidth="1"/>
    <col min="11" max="11" width="31.85546875" customWidth="1"/>
  </cols>
  <sheetData>
    <row r="2" spans="1:16" ht="15.75">
      <c r="A2" s="3" t="s">
        <v>58</v>
      </c>
      <c r="B2" s="4" t="s">
        <v>17</v>
      </c>
      <c r="C2" s="72" t="s">
        <v>59</v>
      </c>
      <c r="D2" s="4"/>
      <c r="E2" s="11"/>
      <c r="F2" s="5" t="s">
        <v>17</v>
      </c>
      <c r="G2" s="43" t="s">
        <v>60</v>
      </c>
      <c r="H2" s="5" t="s">
        <v>61</v>
      </c>
      <c r="I2" s="11"/>
      <c r="J2" s="6" t="s">
        <v>17</v>
      </c>
      <c r="K2" s="6" t="s">
        <v>62</v>
      </c>
      <c r="L2" s="6" t="s">
        <v>60</v>
      </c>
      <c r="M2" s="6" t="s">
        <v>63</v>
      </c>
      <c r="N2" s="6" t="s">
        <v>20</v>
      </c>
      <c r="O2" s="6" t="s">
        <v>21</v>
      </c>
    </row>
    <row r="3" spans="1:16">
      <c r="B3" s="1"/>
      <c r="C3" s="42"/>
      <c r="D3" s="1"/>
      <c r="F3" s="42"/>
      <c r="G3" s="1"/>
      <c r="H3" s="8" t="s">
        <v>64</v>
      </c>
      <c r="J3" s="1"/>
      <c r="K3" s="1"/>
      <c r="L3" s="1"/>
      <c r="M3" s="1"/>
      <c r="N3" s="1"/>
      <c r="O3" s="1"/>
    </row>
    <row r="4" spans="1:16">
      <c r="B4" s="1">
        <v>1</v>
      </c>
      <c r="C4" s="105"/>
      <c r="D4" s="40"/>
      <c r="F4" s="1">
        <v>1</v>
      </c>
      <c r="G4" s="44"/>
      <c r="H4" s="27"/>
      <c r="J4" s="1">
        <v>1</v>
      </c>
      <c r="K4" s="27" t="s">
        <v>65</v>
      </c>
      <c r="L4" s="1"/>
      <c r="M4" s="1"/>
      <c r="N4" s="1"/>
      <c r="O4" s="1"/>
    </row>
    <row r="5" spans="1:16">
      <c r="B5" s="1">
        <v>2</v>
      </c>
      <c r="C5" s="106"/>
      <c r="D5" s="41"/>
      <c r="F5" s="1">
        <v>2</v>
      </c>
      <c r="G5" s="1"/>
      <c r="H5" s="27"/>
      <c r="J5" s="1">
        <v>2</v>
      </c>
      <c r="K5" s="27" t="s">
        <v>65</v>
      </c>
      <c r="L5" s="1"/>
      <c r="M5" s="1"/>
      <c r="N5" s="1"/>
      <c r="O5" s="1"/>
    </row>
    <row r="6" spans="1:16">
      <c r="B6" s="1">
        <v>3</v>
      </c>
      <c r="C6" s="106"/>
      <c r="D6" s="41"/>
      <c r="F6" s="1">
        <v>3</v>
      </c>
      <c r="G6" s="1"/>
      <c r="H6" s="27"/>
      <c r="J6" s="1">
        <v>3</v>
      </c>
      <c r="K6" s="27" t="s">
        <v>65</v>
      </c>
      <c r="L6" s="1"/>
      <c r="M6" s="1"/>
      <c r="N6" s="1"/>
      <c r="O6" s="1"/>
    </row>
    <row r="7" spans="1:16">
      <c r="B7" s="1">
        <v>4</v>
      </c>
      <c r="C7" s="106"/>
      <c r="D7" s="41"/>
      <c r="F7" s="1">
        <v>4</v>
      </c>
      <c r="G7" s="1"/>
      <c r="H7" s="27"/>
      <c r="J7" s="1">
        <v>4</v>
      </c>
      <c r="K7" s="27" t="s">
        <v>65</v>
      </c>
      <c r="L7" s="1"/>
      <c r="M7" s="1"/>
      <c r="N7" s="1"/>
      <c r="O7" s="1"/>
    </row>
    <row r="8" spans="1:16">
      <c r="B8" s="1">
        <v>5</v>
      </c>
      <c r="C8" s="106"/>
      <c r="D8" s="41"/>
      <c r="F8" s="1">
        <v>5</v>
      </c>
      <c r="G8" s="1"/>
      <c r="H8" s="27"/>
      <c r="J8" s="1">
        <v>5</v>
      </c>
      <c r="K8" s="27" t="s">
        <v>65</v>
      </c>
      <c r="L8" s="1"/>
      <c r="M8" s="1"/>
      <c r="N8" s="1"/>
      <c r="O8" s="1"/>
    </row>
    <row r="9" spans="1:16">
      <c r="B9" s="13">
        <v>6</v>
      </c>
      <c r="C9" s="106"/>
      <c r="D9" s="41"/>
      <c r="F9" s="1"/>
      <c r="G9" s="1"/>
      <c r="H9" s="1"/>
    </row>
    <row r="10" spans="1:16">
      <c r="B10" s="1">
        <v>7</v>
      </c>
      <c r="C10" s="107"/>
      <c r="D10" s="41"/>
      <c r="F10" s="1"/>
      <c r="G10" s="1"/>
      <c r="H10" s="9" t="s">
        <v>66</v>
      </c>
    </row>
    <row r="11" spans="1:16">
      <c r="F11" s="1">
        <v>1</v>
      </c>
      <c r="G11" s="1"/>
      <c r="H11" s="27"/>
    </row>
    <row r="12" spans="1:16">
      <c r="F12" s="1">
        <v>2</v>
      </c>
      <c r="G12" s="1"/>
      <c r="H12" s="27"/>
    </row>
    <row r="13" spans="1:16">
      <c r="F13" s="1">
        <v>3</v>
      </c>
      <c r="G13" s="1"/>
      <c r="H13" s="45"/>
    </row>
    <row r="14" spans="1:16">
      <c r="F14" s="1">
        <v>4</v>
      </c>
      <c r="G14" s="42"/>
      <c r="H14" s="1"/>
    </row>
    <row r="15" spans="1:16" ht="24.75" customHeight="1">
      <c r="F15" s="1">
        <v>5</v>
      </c>
      <c r="G15" s="42"/>
      <c r="H15" s="1"/>
    </row>
    <row r="16" spans="1:16" ht="3" hidden="1" customHeight="1">
      <c r="A16" s="7"/>
      <c r="B16" s="7"/>
      <c r="C16" s="7"/>
      <c r="D16" s="7"/>
      <c r="F16" s="7"/>
      <c r="G16" s="7"/>
      <c r="H16" s="46" t="s">
        <v>67</v>
      </c>
      <c r="J16" s="7"/>
      <c r="K16" s="7"/>
      <c r="L16" s="7"/>
      <c r="M16" s="7"/>
      <c r="N16" s="7"/>
      <c r="O16" s="7"/>
      <c r="P16" s="7"/>
    </row>
    <row r="17" spans="1:15" ht="15.75">
      <c r="A17" s="3" t="s">
        <v>68</v>
      </c>
      <c r="B17" s="4" t="s">
        <v>17</v>
      </c>
      <c r="C17" s="72" t="s">
        <v>59</v>
      </c>
      <c r="D17" s="4" t="s">
        <v>69</v>
      </c>
      <c r="E17" s="11"/>
      <c r="F17" s="5" t="s">
        <v>17</v>
      </c>
      <c r="G17" s="5"/>
      <c r="H17" s="27" t="s">
        <v>65</v>
      </c>
      <c r="I17" s="11"/>
      <c r="J17" s="6" t="s">
        <v>17</v>
      </c>
      <c r="K17" s="6" t="s">
        <v>62</v>
      </c>
      <c r="L17" s="6" t="s">
        <v>60</v>
      </c>
      <c r="M17" s="6"/>
      <c r="N17" s="6" t="s">
        <v>20</v>
      </c>
      <c r="O17" s="6" t="s">
        <v>21</v>
      </c>
    </row>
    <row r="18" spans="1:15">
      <c r="B18" s="1"/>
      <c r="C18" s="42"/>
      <c r="D18" s="1"/>
      <c r="F18" s="1"/>
      <c r="H18" s="7"/>
      <c r="J18" s="1"/>
      <c r="K18" s="1"/>
      <c r="L18" s="1"/>
      <c r="M18" s="1"/>
      <c r="N18" s="1"/>
      <c r="O18" s="1"/>
    </row>
    <row r="19" spans="1:15" ht="15.75">
      <c r="B19" s="1">
        <v>1</v>
      </c>
      <c r="C19" s="42"/>
      <c r="D19" s="33"/>
      <c r="F19" s="1"/>
      <c r="G19" s="1"/>
      <c r="H19" s="5" t="s">
        <v>61</v>
      </c>
      <c r="J19" s="1">
        <v>1</v>
      </c>
      <c r="K19" s="1"/>
      <c r="L19" s="1"/>
      <c r="M19" s="1"/>
      <c r="N19" s="1"/>
      <c r="O19" s="1"/>
    </row>
    <row r="20" spans="1:15">
      <c r="B20" s="1">
        <v>2</v>
      </c>
      <c r="C20" s="73"/>
      <c r="D20" s="21"/>
      <c r="F20" s="1"/>
      <c r="G20" s="1"/>
      <c r="H20" s="8" t="s">
        <v>64</v>
      </c>
      <c r="J20" s="1">
        <v>2</v>
      </c>
      <c r="K20" s="1"/>
      <c r="L20" s="1"/>
      <c r="M20" s="1"/>
      <c r="N20" s="1"/>
      <c r="O20" s="1"/>
    </row>
    <row r="21" spans="1:15">
      <c r="B21" s="1">
        <v>3</v>
      </c>
      <c r="C21" s="73"/>
      <c r="D21" s="75"/>
      <c r="F21" s="1">
        <v>1</v>
      </c>
      <c r="G21" s="1"/>
      <c r="H21" s="1"/>
      <c r="J21" s="1">
        <v>3</v>
      </c>
      <c r="K21" s="1"/>
      <c r="L21" s="1"/>
      <c r="M21" s="1"/>
      <c r="N21" s="1"/>
      <c r="O21" s="1"/>
    </row>
    <row r="22" spans="1:15">
      <c r="B22" s="1">
        <v>4</v>
      </c>
      <c r="C22" s="42"/>
      <c r="D22" s="33"/>
      <c r="F22" s="1"/>
      <c r="G22" s="1"/>
      <c r="H22" s="1"/>
      <c r="J22" s="1">
        <v>4</v>
      </c>
      <c r="K22" s="1"/>
      <c r="L22" s="1"/>
      <c r="M22" s="1"/>
      <c r="N22" s="1"/>
      <c r="O22" s="1"/>
    </row>
    <row r="23" spans="1:15">
      <c r="B23" s="1">
        <v>5</v>
      </c>
      <c r="C23" s="73"/>
      <c r="D23" s="75"/>
      <c r="F23" s="1">
        <v>3</v>
      </c>
      <c r="G23" s="1"/>
      <c r="H23" s="1"/>
      <c r="J23" s="1">
        <v>5</v>
      </c>
      <c r="K23" s="1"/>
      <c r="L23" s="1"/>
      <c r="M23" s="1"/>
      <c r="N23" s="1"/>
      <c r="O23" s="1"/>
    </row>
    <row r="24" spans="1:15">
      <c r="B24" s="1">
        <v>6</v>
      </c>
      <c r="C24" s="42"/>
      <c r="D24" s="75"/>
      <c r="F24" s="1">
        <v>4</v>
      </c>
      <c r="G24" s="1"/>
      <c r="H24" s="1"/>
    </row>
    <row r="25" spans="1:15" ht="22.5" customHeight="1">
      <c r="B25" s="1">
        <v>7</v>
      </c>
      <c r="C25" s="42"/>
      <c r="D25" s="75"/>
      <c r="F25" s="1">
        <v>5</v>
      </c>
      <c r="G25" s="1"/>
      <c r="H25" s="1"/>
    </row>
    <row r="26" spans="1:15" ht="2.25" hidden="1" customHeight="1">
      <c r="B26" s="1">
        <v>8</v>
      </c>
      <c r="C26" s="42"/>
      <c r="D26" s="1"/>
      <c r="F26" s="1"/>
      <c r="G26" s="1"/>
      <c r="H26" s="1"/>
    </row>
    <row r="27" spans="1:15">
      <c r="B27" s="1">
        <v>9</v>
      </c>
      <c r="C27" s="42"/>
      <c r="D27" s="33"/>
      <c r="F27" s="1"/>
      <c r="G27" s="1"/>
      <c r="H27" s="9" t="s">
        <v>66</v>
      </c>
    </row>
    <row r="28" spans="1:15">
      <c r="B28" s="1">
        <v>10</v>
      </c>
      <c r="C28" s="42"/>
      <c r="D28" s="33"/>
      <c r="F28" s="1">
        <v>1</v>
      </c>
      <c r="G28" s="1"/>
      <c r="H28" s="1"/>
    </row>
    <row r="29" spans="1:15">
      <c r="B29" s="13">
        <v>11</v>
      </c>
      <c r="C29" s="74"/>
      <c r="D29" s="75"/>
      <c r="F29" s="1">
        <v>2</v>
      </c>
      <c r="G29" s="1"/>
      <c r="H29" s="1"/>
    </row>
    <row r="30" spans="1:15">
      <c r="B30" s="1">
        <v>12</v>
      </c>
      <c r="C30" s="42"/>
      <c r="D30" s="75"/>
      <c r="F30" s="1">
        <v>3</v>
      </c>
      <c r="G30" s="1"/>
      <c r="H30" s="1"/>
    </row>
    <row r="31" spans="1:15">
      <c r="F31">
        <v>4</v>
      </c>
      <c r="G31" s="1"/>
      <c r="H31" s="1"/>
    </row>
    <row r="32" spans="1:15">
      <c r="F32">
        <v>5</v>
      </c>
      <c r="G32" s="1"/>
      <c r="H32" s="1"/>
    </row>
    <row r="37" spans="1:15" ht="15.75">
      <c r="A37" s="3" t="s">
        <v>44</v>
      </c>
      <c r="B37" s="4" t="s">
        <v>17</v>
      </c>
      <c r="C37" s="72" t="s">
        <v>59</v>
      </c>
      <c r="D37" s="4" t="s">
        <v>69</v>
      </c>
      <c r="E37" s="11"/>
      <c r="F37" s="5" t="s">
        <v>17</v>
      </c>
      <c r="G37" s="5"/>
      <c r="H37" s="27" t="s">
        <v>65</v>
      </c>
      <c r="I37" s="11"/>
      <c r="J37" s="6" t="s">
        <v>17</v>
      </c>
      <c r="K37" s="6" t="s">
        <v>62</v>
      </c>
      <c r="L37" s="6" t="s">
        <v>60</v>
      </c>
      <c r="M37" s="6"/>
      <c r="N37" s="6" t="s">
        <v>20</v>
      </c>
      <c r="O37" s="6" t="s">
        <v>21</v>
      </c>
    </row>
    <row r="38" spans="1:15">
      <c r="B38" s="1"/>
      <c r="C38" s="42"/>
      <c r="D38" s="1"/>
      <c r="F38" s="1"/>
      <c r="H38" s="7"/>
      <c r="J38" s="1"/>
      <c r="K38" s="1"/>
      <c r="L38" s="1"/>
      <c r="M38" s="1"/>
      <c r="N38" s="1"/>
      <c r="O38" s="1"/>
    </row>
    <row r="39" spans="1:15" ht="15.75">
      <c r="B39" s="1">
        <v>1</v>
      </c>
      <c r="C39" s="42"/>
      <c r="D39" s="1"/>
      <c r="F39" s="1"/>
      <c r="G39" s="1"/>
      <c r="H39" s="5" t="s">
        <v>61</v>
      </c>
      <c r="J39" s="1">
        <v>1</v>
      </c>
      <c r="K39" s="1"/>
      <c r="L39" s="1"/>
      <c r="M39" s="1"/>
      <c r="N39" s="1"/>
      <c r="O39" s="1"/>
    </row>
    <row r="40" spans="1:15">
      <c r="B40" s="1">
        <v>2</v>
      </c>
      <c r="C40" s="73"/>
      <c r="D40" s="1"/>
      <c r="F40" s="1"/>
      <c r="G40" s="1"/>
      <c r="H40" s="8" t="s">
        <v>64</v>
      </c>
      <c r="J40" s="1">
        <v>2</v>
      </c>
      <c r="K40" s="1"/>
      <c r="L40" s="1"/>
      <c r="M40" s="1"/>
      <c r="N40" s="1"/>
      <c r="O40" s="1"/>
    </row>
    <row r="41" spans="1:15">
      <c r="B41" s="1">
        <v>3</v>
      </c>
      <c r="C41" s="73"/>
      <c r="D41" s="1"/>
      <c r="F41" s="1"/>
      <c r="G41" s="1"/>
      <c r="H41" s="21"/>
      <c r="J41" s="1">
        <v>3</v>
      </c>
      <c r="K41" s="1"/>
      <c r="L41" s="1"/>
      <c r="M41" s="1"/>
      <c r="N41" s="1"/>
      <c r="O41" s="1"/>
    </row>
    <row r="42" spans="1:15">
      <c r="B42" s="1">
        <v>4</v>
      </c>
      <c r="C42" s="42"/>
      <c r="D42" s="1"/>
      <c r="F42" s="1"/>
      <c r="G42" s="1"/>
      <c r="H42" s="1"/>
      <c r="J42" s="1">
        <v>4</v>
      </c>
      <c r="K42" s="1"/>
      <c r="L42" s="1"/>
      <c r="M42" s="1"/>
      <c r="N42" s="1"/>
      <c r="O42" s="1"/>
    </row>
    <row r="43" spans="1:15">
      <c r="B43" s="1">
        <v>5</v>
      </c>
      <c r="C43" s="73"/>
      <c r="D43" s="75"/>
      <c r="F43" s="1"/>
      <c r="G43" s="1"/>
      <c r="H43" s="1"/>
      <c r="J43" s="1">
        <v>5</v>
      </c>
      <c r="K43" s="1"/>
      <c r="L43" s="1"/>
      <c r="M43" s="1"/>
      <c r="N43" s="1"/>
      <c r="O43" s="1"/>
    </row>
    <row r="44" spans="1:15">
      <c r="B44" s="1"/>
      <c r="C44" s="42"/>
      <c r="D44" s="75"/>
      <c r="F44" s="1"/>
      <c r="G44" s="1"/>
      <c r="H44" s="1"/>
    </row>
    <row r="45" spans="1:15">
      <c r="B45" s="1"/>
      <c r="C45" s="42"/>
      <c r="D45" s="75"/>
      <c r="F45" s="1"/>
      <c r="G45" s="1"/>
      <c r="H45" s="1"/>
    </row>
    <row r="46" spans="1:15">
      <c r="B46" s="1"/>
      <c r="C46" s="42"/>
      <c r="D46" s="1"/>
      <c r="F46" s="1"/>
      <c r="G46" s="1"/>
      <c r="H46" s="1"/>
    </row>
    <row r="47" spans="1:15">
      <c r="B47" s="1"/>
      <c r="C47" s="42"/>
      <c r="D47" s="33"/>
      <c r="F47" s="1"/>
      <c r="G47" s="1"/>
      <c r="H47" s="9" t="s">
        <v>66</v>
      </c>
    </row>
    <row r="48" spans="1:15">
      <c r="B48" s="1"/>
      <c r="C48" s="42"/>
      <c r="D48" s="33"/>
      <c r="F48" s="1"/>
      <c r="G48" s="1"/>
      <c r="H48" s="1"/>
    </row>
    <row r="49" spans="2:8">
      <c r="B49" s="13"/>
      <c r="C49" s="74"/>
      <c r="D49" s="75"/>
      <c r="F49" s="1"/>
      <c r="G49" s="1"/>
      <c r="H49" s="1"/>
    </row>
    <row r="50" spans="2:8">
      <c r="B50" s="1"/>
      <c r="C50" s="42"/>
      <c r="D50" s="75"/>
      <c r="F50" s="1"/>
      <c r="G50" s="1"/>
      <c r="H50" s="1"/>
    </row>
    <row r="51" spans="2:8">
      <c r="G51" s="1"/>
      <c r="H51" s="1"/>
    </row>
    <row r="52" spans="2:8">
      <c r="G52" s="1"/>
      <c r="H5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2C07-A0FB-4DF8-A6D9-C60E940CAD1E}">
  <dimension ref="A1:A4"/>
  <sheetViews>
    <sheetView workbookViewId="0"/>
  </sheetViews>
  <sheetFormatPr defaultRowHeight="15"/>
  <cols>
    <col min="1" max="1" width="14.7109375" customWidth="1"/>
  </cols>
  <sheetData>
    <row r="1" spans="1:1">
      <c r="A1" s="22" t="s">
        <v>70</v>
      </c>
    </row>
    <row r="2" spans="1:1">
      <c r="A2" s="23" t="s">
        <v>71</v>
      </c>
    </row>
    <row r="3" spans="1:1">
      <c r="A3" s="24" t="s">
        <v>72</v>
      </c>
    </row>
    <row r="4" spans="1:1">
      <c r="A4" s="25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C8EA-CBD9-4725-B9AA-CE33AA1A1094}">
  <dimension ref="A1:J17"/>
  <sheetViews>
    <sheetView workbookViewId="0">
      <selection activeCell="B19" sqref="B19"/>
    </sheetView>
  </sheetViews>
  <sheetFormatPr defaultRowHeight="15"/>
  <cols>
    <col min="2" max="2" width="36.42578125" customWidth="1"/>
    <col min="3" max="3" width="23.5703125" customWidth="1"/>
    <col min="4" max="4" width="12" customWidth="1"/>
    <col min="6" max="6" width="28.7109375" customWidth="1"/>
    <col min="7" max="7" width="55" customWidth="1"/>
    <col min="8" max="8" width="23.5703125" customWidth="1"/>
    <col min="9" max="9" width="32.85546875" customWidth="1"/>
    <col min="10" max="10" width="29" customWidth="1"/>
  </cols>
  <sheetData>
    <row r="1" spans="1:10">
      <c r="A1" s="65"/>
      <c r="B1" s="81" t="s">
        <v>74</v>
      </c>
      <c r="C1" s="81"/>
    </row>
    <row r="2" spans="1:10">
      <c r="A2" s="65"/>
      <c r="B2" s="81" t="s">
        <v>37</v>
      </c>
      <c r="C2" s="81"/>
    </row>
    <row r="3" spans="1:10">
      <c r="A3" s="65"/>
    </row>
    <row r="4" spans="1:10">
      <c r="A4" s="82" t="s">
        <v>75</v>
      </c>
      <c r="B4" s="83" t="s">
        <v>76</v>
      </c>
      <c r="C4" s="83" t="s">
        <v>77</v>
      </c>
      <c r="D4" s="82" t="s">
        <v>78</v>
      </c>
      <c r="E4" s="84" t="s">
        <v>79</v>
      </c>
      <c r="F4" s="83" t="s">
        <v>80</v>
      </c>
      <c r="G4" s="82" t="s">
        <v>81</v>
      </c>
      <c r="H4" s="84" t="s">
        <v>82</v>
      </c>
      <c r="I4" s="82" t="s">
        <v>20</v>
      </c>
      <c r="J4" s="82" t="s">
        <v>83</v>
      </c>
    </row>
    <row r="5" spans="1:10" ht="15" customHeight="1">
      <c r="A5" s="85">
        <v>1</v>
      </c>
      <c r="B5" s="69"/>
      <c r="C5" s="120"/>
      <c r="D5" s="86"/>
      <c r="E5" s="124">
        <v>1</v>
      </c>
      <c r="F5" s="127"/>
      <c r="G5" s="87"/>
      <c r="H5" s="1"/>
      <c r="I5" s="13"/>
      <c r="J5" s="21"/>
    </row>
    <row r="6" spans="1:10">
      <c r="A6" s="85">
        <v>2</v>
      </c>
      <c r="B6" s="88"/>
      <c r="C6" s="121"/>
      <c r="D6" s="86"/>
      <c r="E6" s="125"/>
      <c r="F6" s="128"/>
      <c r="G6" s="89"/>
      <c r="H6" s="1"/>
      <c r="I6" s="1"/>
      <c r="J6" s="1"/>
    </row>
    <row r="7" spans="1:10">
      <c r="A7" s="85">
        <v>3</v>
      </c>
      <c r="B7" s="86"/>
      <c r="C7" s="122"/>
      <c r="D7" s="90"/>
      <c r="E7" s="125"/>
      <c r="F7" s="128"/>
      <c r="G7" s="91"/>
      <c r="H7" s="13"/>
      <c r="I7" s="13"/>
      <c r="J7" s="13"/>
    </row>
    <row r="8" spans="1:10">
      <c r="A8" s="85">
        <v>4</v>
      </c>
      <c r="B8" s="92"/>
      <c r="C8" s="122"/>
      <c r="D8" s="86"/>
      <c r="E8" s="125"/>
      <c r="F8" s="128"/>
      <c r="G8" s="87"/>
      <c r="H8" s="87"/>
      <c r="I8" s="13"/>
      <c r="J8" s="1"/>
    </row>
    <row r="9" spans="1:10">
      <c r="A9" s="85">
        <v>5</v>
      </c>
      <c r="B9" s="92"/>
      <c r="C9" s="122"/>
      <c r="D9" s="86"/>
      <c r="E9" s="125"/>
      <c r="F9" s="128"/>
      <c r="G9" s="87"/>
      <c r="H9" s="1"/>
      <c r="I9" s="13"/>
      <c r="J9" s="1"/>
    </row>
    <row r="10" spans="1:10">
      <c r="A10" s="85">
        <v>6</v>
      </c>
      <c r="B10" s="92"/>
      <c r="C10" s="122"/>
      <c r="D10" s="86"/>
      <c r="E10" s="125"/>
      <c r="F10" s="128"/>
      <c r="G10" s="87"/>
      <c r="H10" s="1"/>
      <c r="I10" s="13"/>
      <c r="J10" s="1"/>
    </row>
    <row r="11" spans="1:10">
      <c r="A11" s="85">
        <v>7</v>
      </c>
      <c r="B11" s="92"/>
      <c r="C11" s="122"/>
      <c r="D11" s="86"/>
      <c r="E11" s="125"/>
      <c r="F11" s="128"/>
      <c r="G11" s="87"/>
      <c r="H11" s="1"/>
      <c r="I11" s="13"/>
      <c r="J11" s="1"/>
    </row>
    <row r="12" spans="1:10">
      <c r="A12" s="85">
        <v>8</v>
      </c>
      <c r="B12" s="86"/>
      <c r="C12" s="122"/>
      <c r="D12" s="86"/>
      <c r="E12" s="125"/>
      <c r="F12" s="128"/>
      <c r="G12" s="86"/>
      <c r="H12" s="1"/>
      <c r="I12" s="13"/>
      <c r="J12" s="1"/>
    </row>
    <row r="13" spans="1:10">
      <c r="A13" s="85">
        <v>9</v>
      </c>
      <c r="B13" s="93"/>
      <c r="C13" s="123"/>
      <c r="D13" s="86"/>
      <c r="E13" s="126"/>
      <c r="F13" s="129"/>
      <c r="G13" s="87"/>
      <c r="H13" s="42"/>
      <c r="I13" s="13"/>
      <c r="J13" s="86"/>
    </row>
    <row r="17" spans="9:9">
      <c r="I17" s="94"/>
    </row>
  </sheetData>
  <mergeCells count="3">
    <mergeCell ref="C5:C13"/>
    <mergeCell ref="E5:E13"/>
    <mergeCell ref="F5:F13"/>
  </mergeCells>
  <conditionalFormatting sqref="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{81A49DE6-73FB-4EFB-9739-5E86E59D8F47}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92" priority="29" operator="equal">
      <formula>"Tester &amp; DevOps Engr"</formula>
    </cfRule>
    <cfRule type="cellIs" dxfId="91" priority="30" operator="equal">
      <formula>"Back End Developer"</formula>
    </cfRule>
    <cfRule type="cellIs" dxfId="90" priority="31" operator="equal">
      <formula>"Front End Developer"</formula>
    </cfRule>
  </conditionalFormatting>
  <conditionalFormatting sqref="I5:I7">
    <cfRule type="cellIs" dxfId="89" priority="25" operator="equal">
      <formula>"Not Started"</formula>
    </cfRule>
    <cfRule type="cellIs" dxfId="88" priority="26" operator="equal">
      <formula>"Overdue"</formula>
    </cfRule>
    <cfRule type="cellIs" dxfId="87" priority="27" operator="equal">
      <formula>"In Progress"</formula>
    </cfRule>
    <cfRule type="cellIs" dxfId="86" priority="28" operator="equal">
      <formula>"Completed"</formula>
    </cfRule>
  </conditionalFormatting>
  <conditionalFormatting sqref="I10">
    <cfRule type="cellIs" dxfId="85" priority="21" operator="equal">
      <formula>"Not Started"</formula>
    </cfRule>
    <cfRule type="cellIs" dxfId="84" priority="22" operator="equal">
      <formula>"Overdue"</formula>
    </cfRule>
    <cfRule type="cellIs" dxfId="83" priority="23" operator="equal">
      <formula>"In Progress"</formula>
    </cfRule>
    <cfRule type="cellIs" dxfId="82" priority="24" operator="equal">
      <formula>"Completed"</formula>
    </cfRule>
  </conditionalFormatting>
  <conditionalFormatting sqref="I8">
    <cfRule type="cellIs" dxfId="81" priority="17" operator="equal">
      <formula>"Not Started"</formula>
    </cfRule>
    <cfRule type="cellIs" dxfId="80" priority="18" operator="equal">
      <formula>"Overdue"</formula>
    </cfRule>
    <cfRule type="cellIs" dxfId="79" priority="19" operator="equal">
      <formula>"In Progress"</formula>
    </cfRule>
    <cfRule type="cellIs" dxfId="78" priority="20" operator="equal">
      <formula>"Completed"</formula>
    </cfRule>
  </conditionalFormatting>
  <conditionalFormatting sqref="I12">
    <cfRule type="cellIs" dxfId="77" priority="13" operator="equal">
      <formula>"Not Started"</formula>
    </cfRule>
    <cfRule type="cellIs" dxfId="76" priority="14" operator="equal">
      <formula>"Overdue"</formula>
    </cfRule>
    <cfRule type="cellIs" dxfId="75" priority="15" operator="equal">
      <formula>"In Progress"</formula>
    </cfRule>
    <cfRule type="cellIs" dxfId="74" priority="16" operator="equal">
      <formula>"Completed"</formula>
    </cfRule>
  </conditionalFormatting>
  <conditionalFormatting sqref="I9">
    <cfRule type="cellIs" dxfId="73" priority="9" operator="equal">
      <formula>"Not Started"</formula>
    </cfRule>
    <cfRule type="cellIs" dxfId="72" priority="10" operator="equal">
      <formula>"Overdue"</formula>
    </cfRule>
    <cfRule type="cellIs" dxfId="71" priority="11" operator="equal">
      <formula>"In Progress"</formula>
    </cfRule>
    <cfRule type="cellIs" dxfId="70" priority="12" operator="equal">
      <formula>"Completed"</formula>
    </cfRule>
  </conditionalFormatting>
  <conditionalFormatting sqref="I11">
    <cfRule type="cellIs" dxfId="69" priority="5" operator="equal">
      <formula>"Not Started"</formula>
    </cfRule>
    <cfRule type="cellIs" dxfId="68" priority="6" operator="equal">
      <formula>"Overdue"</formula>
    </cfRule>
    <cfRule type="cellIs" dxfId="67" priority="7" operator="equal">
      <formula>"In Progress"</formula>
    </cfRule>
    <cfRule type="cellIs" dxfId="66" priority="8" operator="equal">
      <formula>"Completed"</formula>
    </cfRule>
  </conditionalFormatting>
  <conditionalFormatting sqref="I13">
    <cfRule type="cellIs" dxfId="65" priority="1" operator="equal">
      <formula>"Not Started"</formula>
    </cfRule>
    <cfRule type="cellIs" dxfId="64" priority="2" operator="equal">
      <formula>"Overdue"</formula>
    </cfRule>
    <cfRule type="cellIs" dxfId="63" priority="3" operator="equal">
      <formula>"In Progress"</formula>
    </cfRule>
    <cfRule type="cellIs" dxfId="62" priority="4" operator="equal">
      <formula>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A49DE6-73FB-4EFB-9739-5E86E59D8F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6353-7341-43CE-8E8A-20779FFFAEAC}">
  <dimension ref="A1:J17"/>
  <sheetViews>
    <sheetView workbookViewId="0">
      <selection activeCell="F17" sqref="F17"/>
    </sheetView>
  </sheetViews>
  <sheetFormatPr defaultRowHeight="15"/>
  <cols>
    <col min="2" max="2" width="36.42578125" customWidth="1"/>
    <col min="3" max="3" width="23.5703125" customWidth="1"/>
    <col min="4" max="4" width="12" customWidth="1"/>
    <col min="6" max="6" width="28.7109375" customWidth="1"/>
    <col min="7" max="7" width="55" customWidth="1"/>
    <col min="8" max="8" width="23.5703125" customWidth="1"/>
    <col min="9" max="9" width="32.85546875" customWidth="1"/>
    <col min="10" max="10" width="29" customWidth="1"/>
  </cols>
  <sheetData>
    <row r="1" spans="1:10">
      <c r="A1" s="65"/>
      <c r="B1" s="81" t="s">
        <v>74</v>
      </c>
      <c r="C1" s="81"/>
    </row>
    <row r="2" spans="1:10">
      <c r="A2" s="65"/>
      <c r="B2" s="81" t="s">
        <v>37</v>
      </c>
      <c r="C2" s="81"/>
    </row>
    <row r="3" spans="1:10">
      <c r="A3" s="65"/>
    </row>
    <row r="4" spans="1:10">
      <c r="A4" s="82" t="s">
        <v>75</v>
      </c>
      <c r="B4" s="83" t="s">
        <v>76</v>
      </c>
      <c r="C4" s="83" t="s">
        <v>77</v>
      </c>
      <c r="D4" s="82" t="s">
        <v>78</v>
      </c>
      <c r="E4" s="84" t="s">
        <v>79</v>
      </c>
      <c r="F4" s="83" t="s">
        <v>80</v>
      </c>
      <c r="G4" s="82" t="s">
        <v>81</v>
      </c>
      <c r="H4" s="84" t="s">
        <v>82</v>
      </c>
      <c r="I4" s="82" t="s">
        <v>20</v>
      </c>
      <c r="J4" s="82" t="s">
        <v>83</v>
      </c>
    </row>
    <row r="5" spans="1:10" ht="15" customHeight="1">
      <c r="A5" s="85">
        <v>1</v>
      </c>
      <c r="B5" s="69"/>
      <c r="C5" s="120"/>
      <c r="D5" s="86"/>
      <c r="E5" s="124">
        <v>2</v>
      </c>
      <c r="F5" s="127"/>
      <c r="G5" s="87"/>
      <c r="H5" s="1"/>
      <c r="I5" s="13"/>
      <c r="J5" s="21"/>
    </row>
    <row r="6" spans="1:10">
      <c r="A6" s="85">
        <v>2</v>
      </c>
      <c r="B6" s="88"/>
      <c r="C6" s="121"/>
      <c r="D6" s="86"/>
      <c r="E6" s="125"/>
      <c r="F6" s="128"/>
      <c r="G6" s="89"/>
      <c r="H6" s="1"/>
      <c r="I6" s="1"/>
      <c r="J6" s="1"/>
    </row>
    <row r="7" spans="1:10">
      <c r="A7" s="85">
        <v>3</v>
      </c>
      <c r="B7" s="86"/>
      <c r="C7" s="122"/>
      <c r="D7" s="90"/>
      <c r="E7" s="125"/>
      <c r="F7" s="128"/>
      <c r="G7" s="91"/>
      <c r="H7" s="13"/>
      <c r="I7" s="13"/>
      <c r="J7" s="13"/>
    </row>
    <row r="8" spans="1:10">
      <c r="A8" s="85">
        <v>4</v>
      </c>
      <c r="B8" s="92"/>
      <c r="C8" s="122"/>
      <c r="D8" s="86"/>
      <c r="E8" s="125"/>
      <c r="F8" s="128"/>
      <c r="G8" s="87"/>
      <c r="H8" s="87"/>
      <c r="I8" s="13"/>
      <c r="J8" s="1"/>
    </row>
    <row r="9" spans="1:10">
      <c r="A9" s="85">
        <v>5</v>
      </c>
      <c r="B9" s="92"/>
      <c r="C9" s="122"/>
      <c r="D9" s="86"/>
      <c r="E9" s="125"/>
      <c r="F9" s="128"/>
      <c r="G9" s="87"/>
      <c r="H9" s="1"/>
      <c r="I9" s="13"/>
      <c r="J9" s="1"/>
    </row>
    <row r="10" spans="1:10">
      <c r="A10" s="85">
        <v>6</v>
      </c>
      <c r="B10" s="92"/>
      <c r="C10" s="122"/>
      <c r="D10" s="86"/>
      <c r="E10" s="125"/>
      <c r="F10" s="128"/>
      <c r="G10" s="87"/>
      <c r="H10" s="1"/>
      <c r="I10" s="13"/>
      <c r="J10" s="1"/>
    </row>
    <row r="11" spans="1:10">
      <c r="A11" s="85">
        <v>7</v>
      </c>
      <c r="B11" s="92"/>
      <c r="C11" s="122"/>
      <c r="D11" s="86"/>
      <c r="E11" s="125"/>
      <c r="F11" s="128"/>
      <c r="G11" s="87"/>
      <c r="H11" s="1"/>
      <c r="I11" s="13"/>
      <c r="J11" s="1"/>
    </row>
    <row r="12" spans="1:10">
      <c r="A12" s="85">
        <v>8</v>
      </c>
      <c r="B12" s="86"/>
      <c r="C12" s="122"/>
      <c r="D12" s="86"/>
      <c r="E12" s="125"/>
      <c r="F12" s="128"/>
      <c r="G12" s="86"/>
      <c r="H12" s="1"/>
      <c r="I12" s="13"/>
      <c r="J12" s="1"/>
    </row>
    <row r="13" spans="1:10">
      <c r="A13" s="85">
        <v>9</v>
      </c>
      <c r="B13" s="93"/>
      <c r="C13" s="123"/>
      <c r="D13" s="86"/>
      <c r="E13" s="126"/>
      <c r="F13" s="129"/>
      <c r="G13" s="87"/>
      <c r="H13" s="42"/>
      <c r="I13" s="13"/>
      <c r="J13" s="86"/>
    </row>
    <row r="17" spans="9:9">
      <c r="I17" s="94"/>
    </row>
  </sheetData>
  <mergeCells count="3">
    <mergeCell ref="C5:C13"/>
    <mergeCell ref="E5:E13"/>
    <mergeCell ref="F5:F13"/>
  </mergeCells>
  <conditionalFormatting sqref="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{CD9A056C-0494-4341-996E-49CB0785F6B5}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61" priority="29" operator="equal">
      <formula>"Tester &amp; DevOps Engr"</formula>
    </cfRule>
    <cfRule type="cellIs" dxfId="60" priority="30" operator="equal">
      <formula>"Back End Developer"</formula>
    </cfRule>
    <cfRule type="cellIs" dxfId="59" priority="31" operator="equal">
      <formula>"Front End Developer"</formula>
    </cfRule>
  </conditionalFormatting>
  <conditionalFormatting sqref="I5:I7">
    <cfRule type="cellIs" dxfId="58" priority="25" operator="equal">
      <formula>"Not Started"</formula>
    </cfRule>
    <cfRule type="cellIs" dxfId="57" priority="26" operator="equal">
      <formula>"Overdue"</formula>
    </cfRule>
    <cfRule type="cellIs" dxfId="56" priority="27" operator="equal">
      <formula>"In Progress"</formula>
    </cfRule>
    <cfRule type="cellIs" dxfId="55" priority="28" operator="equal">
      <formula>"Completed"</formula>
    </cfRule>
  </conditionalFormatting>
  <conditionalFormatting sqref="I10">
    <cfRule type="cellIs" dxfId="54" priority="21" operator="equal">
      <formula>"Not Started"</formula>
    </cfRule>
    <cfRule type="cellIs" dxfId="53" priority="22" operator="equal">
      <formula>"Overdue"</formula>
    </cfRule>
    <cfRule type="cellIs" dxfId="52" priority="23" operator="equal">
      <formula>"In Progress"</formula>
    </cfRule>
    <cfRule type="cellIs" dxfId="51" priority="24" operator="equal">
      <formula>"Completed"</formula>
    </cfRule>
  </conditionalFormatting>
  <conditionalFormatting sqref="I8">
    <cfRule type="cellIs" dxfId="50" priority="17" operator="equal">
      <formula>"Not Started"</formula>
    </cfRule>
    <cfRule type="cellIs" dxfId="49" priority="18" operator="equal">
      <formula>"Overdue"</formula>
    </cfRule>
    <cfRule type="cellIs" dxfId="48" priority="19" operator="equal">
      <formula>"In Progress"</formula>
    </cfRule>
    <cfRule type="cellIs" dxfId="47" priority="20" operator="equal">
      <formula>"Completed"</formula>
    </cfRule>
  </conditionalFormatting>
  <conditionalFormatting sqref="I12">
    <cfRule type="cellIs" dxfId="46" priority="13" operator="equal">
      <formula>"Not Started"</formula>
    </cfRule>
    <cfRule type="cellIs" dxfId="45" priority="14" operator="equal">
      <formula>"Overdue"</formula>
    </cfRule>
    <cfRule type="cellIs" dxfId="44" priority="15" operator="equal">
      <formula>"In Progress"</formula>
    </cfRule>
    <cfRule type="cellIs" dxfId="43" priority="16" operator="equal">
      <formula>"Completed"</formula>
    </cfRule>
  </conditionalFormatting>
  <conditionalFormatting sqref="I9">
    <cfRule type="cellIs" dxfId="42" priority="9" operator="equal">
      <formula>"Not Started"</formula>
    </cfRule>
    <cfRule type="cellIs" dxfId="41" priority="10" operator="equal">
      <formula>"Overdue"</formula>
    </cfRule>
    <cfRule type="cellIs" dxfId="40" priority="11" operator="equal">
      <formula>"In Progress"</formula>
    </cfRule>
    <cfRule type="cellIs" dxfId="39" priority="12" operator="equal">
      <formula>"Completed"</formula>
    </cfRule>
  </conditionalFormatting>
  <conditionalFormatting sqref="I11">
    <cfRule type="cellIs" dxfId="38" priority="5" operator="equal">
      <formula>"Not Started"</formula>
    </cfRule>
    <cfRule type="cellIs" dxfId="37" priority="6" operator="equal">
      <formula>"Overdue"</formula>
    </cfRule>
    <cfRule type="cellIs" dxfId="36" priority="7" operator="equal">
      <formula>"In Progress"</formula>
    </cfRule>
    <cfRule type="cellIs" dxfId="35" priority="8" operator="equal">
      <formula>"Completed"</formula>
    </cfRule>
  </conditionalFormatting>
  <conditionalFormatting sqref="I13">
    <cfRule type="cellIs" dxfId="34" priority="1" operator="equal">
      <formula>"Not Started"</formula>
    </cfRule>
    <cfRule type="cellIs" dxfId="33" priority="2" operator="equal">
      <formula>"Overdue"</formula>
    </cfRule>
    <cfRule type="cellIs" dxfId="32" priority="3" operator="equal">
      <formula>"In Progress"</formula>
    </cfRule>
    <cfRule type="cellIs" dxfId="31" priority="4" operator="equal">
      <formula>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9A056C-0494-4341-996E-49CB0785F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ED15-9429-4B98-906E-1E37CBF9BD96}">
  <dimension ref="A1:J17"/>
  <sheetViews>
    <sheetView workbookViewId="0">
      <selection activeCell="E14" sqref="E14"/>
    </sheetView>
  </sheetViews>
  <sheetFormatPr defaultRowHeight="15"/>
  <cols>
    <col min="2" max="2" width="36.42578125" customWidth="1"/>
    <col min="3" max="3" width="23.5703125" customWidth="1"/>
    <col min="4" max="4" width="12" customWidth="1"/>
    <col min="6" max="6" width="28.7109375" customWidth="1"/>
    <col min="7" max="7" width="55" customWidth="1"/>
    <col min="8" max="8" width="23.5703125" customWidth="1"/>
    <col min="9" max="9" width="32.85546875" customWidth="1"/>
    <col min="10" max="10" width="29" customWidth="1"/>
  </cols>
  <sheetData>
    <row r="1" spans="1:10">
      <c r="A1" s="65"/>
      <c r="B1" s="81" t="s">
        <v>74</v>
      </c>
      <c r="C1" s="81"/>
    </row>
    <row r="2" spans="1:10">
      <c r="A2" s="65"/>
      <c r="B2" s="81" t="s">
        <v>37</v>
      </c>
      <c r="C2" s="81"/>
    </row>
    <row r="3" spans="1:10">
      <c r="A3" s="65"/>
    </row>
    <row r="4" spans="1:10">
      <c r="A4" s="82" t="s">
        <v>75</v>
      </c>
      <c r="B4" s="83" t="s">
        <v>76</v>
      </c>
      <c r="C4" s="83" t="s">
        <v>77</v>
      </c>
      <c r="D4" s="82" t="s">
        <v>78</v>
      </c>
      <c r="E4" s="84" t="s">
        <v>79</v>
      </c>
      <c r="F4" s="83" t="s">
        <v>80</v>
      </c>
      <c r="G4" s="82" t="s">
        <v>81</v>
      </c>
      <c r="H4" s="84" t="s">
        <v>82</v>
      </c>
      <c r="I4" s="82" t="s">
        <v>20</v>
      </c>
      <c r="J4" s="82" t="s">
        <v>83</v>
      </c>
    </row>
    <row r="5" spans="1:10" ht="15" customHeight="1">
      <c r="A5" s="85">
        <v>1</v>
      </c>
      <c r="B5" s="69"/>
      <c r="C5" s="120"/>
      <c r="D5" s="86"/>
      <c r="E5" s="124">
        <v>3</v>
      </c>
      <c r="F5" s="127"/>
      <c r="G5" s="87"/>
      <c r="H5" s="1"/>
      <c r="I5" s="13"/>
      <c r="J5" s="21"/>
    </row>
    <row r="6" spans="1:10">
      <c r="A6" s="85">
        <v>2</v>
      </c>
      <c r="B6" s="88"/>
      <c r="C6" s="121"/>
      <c r="D6" s="86"/>
      <c r="E6" s="125"/>
      <c r="F6" s="128"/>
      <c r="G6" s="89"/>
      <c r="H6" s="1"/>
      <c r="I6" s="1"/>
      <c r="J6" s="1"/>
    </row>
    <row r="7" spans="1:10">
      <c r="A7" s="85">
        <v>3</v>
      </c>
      <c r="B7" s="86"/>
      <c r="C7" s="122"/>
      <c r="D7" s="90"/>
      <c r="E7" s="125"/>
      <c r="F7" s="128"/>
      <c r="G7" s="91"/>
      <c r="H7" s="13"/>
      <c r="I7" s="13"/>
      <c r="J7" s="13"/>
    </row>
    <row r="8" spans="1:10">
      <c r="A8" s="85">
        <v>4</v>
      </c>
      <c r="B8" s="92"/>
      <c r="C8" s="122"/>
      <c r="D8" s="86"/>
      <c r="E8" s="125"/>
      <c r="F8" s="128"/>
      <c r="G8" s="87"/>
      <c r="H8" s="87"/>
      <c r="I8" s="13"/>
      <c r="J8" s="1"/>
    </row>
    <row r="9" spans="1:10">
      <c r="A9" s="85">
        <v>5</v>
      </c>
      <c r="B9" s="92"/>
      <c r="C9" s="122"/>
      <c r="D9" s="86"/>
      <c r="E9" s="125"/>
      <c r="F9" s="128"/>
      <c r="G9" s="87"/>
      <c r="H9" s="1"/>
      <c r="I9" s="13"/>
      <c r="J9" s="1"/>
    </row>
    <row r="10" spans="1:10">
      <c r="A10" s="85">
        <v>6</v>
      </c>
      <c r="B10" s="92"/>
      <c r="C10" s="122"/>
      <c r="D10" s="86"/>
      <c r="E10" s="125"/>
      <c r="F10" s="128"/>
      <c r="G10" s="87"/>
      <c r="H10" s="1"/>
      <c r="I10" s="13"/>
      <c r="J10" s="1"/>
    </row>
    <row r="11" spans="1:10">
      <c r="A11" s="85">
        <v>7</v>
      </c>
      <c r="B11" s="92"/>
      <c r="C11" s="122"/>
      <c r="D11" s="86"/>
      <c r="E11" s="125"/>
      <c r="F11" s="128"/>
      <c r="G11" s="87"/>
      <c r="H11" s="1"/>
      <c r="I11" s="13"/>
      <c r="J11" s="1"/>
    </row>
    <row r="12" spans="1:10">
      <c r="A12" s="85">
        <v>8</v>
      </c>
      <c r="B12" s="86"/>
      <c r="C12" s="122"/>
      <c r="D12" s="86"/>
      <c r="E12" s="125"/>
      <c r="F12" s="128"/>
      <c r="G12" s="86"/>
      <c r="H12" s="1"/>
      <c r="I12" s="13"/>
      <c r="J12" s="1"/>
    </row>
    <row r="13" spans="1:10">
      <c r="A13" s="85">
        <v>9</v>
      </c>
      <c r="B13" s="93"/>
      <c r="C13" s="123"/>
      <c r="D13" s="86"/>
      <c r="E13" s="126"/>
      <c r="F13" s="129"/>
      <c r="G13" s="87"/>
      <c r="H13" s="42"/>
      <c r="I13" s="13"/>
      <c r="J13" s="86"/>
    </row>
    <row r="17" spans="9:9">
      <c r="I17" s="94"/>
    </row>
  </sheetData>
  <mergeCells count="3">
    <mergeCell ref="C5:C13"/>
    <mergeCell ref="E5:E13"/>
    <mergeCell ref="F5:F13"/>
  </mergeCells>
  <conditionalFormatting sqref="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{E845D355-3346-4CC0-8507-EAE7DA84101C}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3">
    <cfRule type="cellIs" dxfId="30" priority="29" operator="equal">
      <formula>"Tester &amp; DevOps Engr"</formula>
    </cfRule>
    <cfRule type="cellIs" dxfId="29" priority="30" operator="equal">
      <formula>"Back End Developer"</formula>
    </cfRule>
    <cfRule type="cellIs" dxfId="28" priority="31" operator="equal">
      <formula>"Front End Developer"</formula>
    </cfRule>
  </conditionalFormatting>
  <conditionalFormatting sqref="I5:I7">
    <cfRule type="cellIs" dxfId="27" priority="25" operator="equal">
      <formula>"Not Started"</formula>
    </cfRule>
    <cfRule type="cellIs" dxfId="26" priority="26" operator="equal">
      <formula>"Overdue"</formula>
    </cfRule>
    <cfRule type="cellIs" dxfId="25" priority="27" operator="equal">
      <formula>"In Progress"</formula>
    </cfRule>
    <cfRule type="cellIs" dxfId="24" priority="28" operator="equal">
      <formula>"Completed"</formula>
    </cfRule>
  </conditionalFormatting>
  <conditionalFormatting sqref="I10">
    <cfRule type="cellIs" dxfId="23" priority="21" operator="equal">
      <formula>"Not Started"</formula>
    </cfRule>
    <cfRule type="cellIs" dxfId="22" priority="22" operator="equal">
      <formula>"Overdue"</formula>
    </cfRule>
    <cfRule type="cellIs" dxfId="21" priority="23" operator="equal">
      <formula>"In Progress"</formula>
    </cfRule>
    <cfRule type="cellIs" dxfId="20" priority="24" operator="equal">
      <formula>"Completed"</formula>
    </cfRule>
  </conditionalFormatting>
  <conditionalFormatting sqref="I8">
    <cfRule type="cellIs" dxfId="19" priority="17" operator="equal">
      <formula>"Not Started"</formula>
    </cfRule>
    <cfRule type="cellIs" dxfId="18" priority="18" operator="equal">
      <formula>"Overdue"</formula>
    </cfRule>
    <cfRule type="cellIs" dxfId="17" priority="19" operator="equal">
      <formula>"In Progress"</formula>
    </cfRule>
    <cfRule type="cellIs" dxfId="16" priority="20" operator="equal">
      <formula>"Completed"</formula>
    </cfRule>
  </conditionalFormatting>
  <conditionalFormatting sqref="I12">
    <cfRule type="cellIs" dxfId="15" priority="13" operator="equal">
      <formula>"Not Started"</formula>
    </cfRule>
    <cfRule type="cellIs" dxfId="14" priority="14" operator="equal">
      <formula>"Overdue"</formula>
    </cfRule>
    <cfRule type="cellIs" dxfId="13" priority="15" operator="equal">
      <formula>"In Progress"</formula>
    </cfRule>
    <cfRule type="cellIs" dxfId="12" priority="16" operator="equal">
      <formula>"Completed"</formula>
    </cfRule>
  </conditionalFormatting>
  <conditionalFormatting sqref="I9">
    <cfRule type="cellIs" dxfId="11" priority="9" operator="equal">
      <formula>"Not Started"</formula>
    </cfRule>
    <cfRule type="cellIs" dxfId="10" priority="10" operator="equal">
      <formula>"Overdue"</formula>
    </cfRule>
    <cfRule type="cellIs" dxfId="9" priority="11" operator="equal">
      <formula>"In Progress"</formula>
    </cfRule>
    <cfRule type="cellIs" dxfId="8" priority="12" operator="equal">
      <formula>"Completed"</formula>
    </cfRule>
  </conditionalFormatting>
  <conditionalFormatting sqref="I11">
    <cfRule type="cellIs" dxfId="7" priority="5" operator="equal">
      <formula>"Not Started"</formula>
    </cfRule>
    <cfRule type="cellIs" dxfId="6" priority="6" operator="equal">
      <formula>"Overdue"</formula>
    </cfRule>
    <cfRule type="cellIs" dxfId="5" priority="7" operator="equal">
      <formula>"In Progress"</formula>
    </cfRule>
    <cfRule type="cellIs" dxfId="4" priority="8" operator="equal">
      <formula>"Completed"</formula>
    </cfRule>
  </conditionalFormatting>
  <conditionalFormatting sqref="I13">
    <cfRule type="cellIs" dxfId="3" priority="1" operator="equal">
      <formula>"Not Started"</formula>
    </cfRule>
    <cfRule type="cellIs" dxfId="2" priority="2" operator="equal">
      <formula>"Overdue"</formula>
    </cfRule>
    <cfRule type="cellIs" dxfId="1" priority="3" operator="equal">
      <formula>"In Progress"</formula>
    </cfRule>
    <cfRule type="cellIs" dxfId="0" priority="4" operator="equal">
      <formula>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5D355-3346-4CC0-8507-EAE7DA841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E58A0B-5431-4772-A8CD-BA5A8B7A39A4}"/>
</file>

<file path=customXml/itemProps2.xml><?xml version="1.0" encoding="utf-8"?>
<ds:datastoreItem xmlns:ds="http://schemas.openxmlformats.org/officeDocument/2006/customXml" ds:itemID="{FF0E0DA2-BBDE-44F9-9E65-FA425C0BA088}"/>
</file>

<file path=customXml/itemProps3.xml><?xml version="1.0" encoding="utf-8"?>
<ds:datastoreItem xmlns:ds="http://schemas.openxmlformats.org/officeDocument/2006/customXml" ds:itemID="{36149DCC-1538-444B-872C-059D71E952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Karthic Vethachalam</cp:lastModifiedBy>
  <cp:revision/>
  <dcterms:created xsi:type="dcterms:W3CDTF">2024-11-18T11:47:03Z</dcterms:created>
  <dcterms:modified xsi:type="dcterms:W3CDTF">2025-07-22T02:57:23Z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2025-06-05T09:29:30Z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fe66d7b1-c17e-4ba8-a08d-2e146117dc7e</vt:lpwstr>
  </property>
  <property fmtid="{D5CDD505-2E9C-101B-9397-08002B2CF9AE}" pid="9" name="MSIP_Label_defa4170-0d19-0005-0004-bc88714345d2_ActionId">
    <vt:lpwstr>67d25a0e-c473-46f3-8cdf-43fb149c3fdf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10, 3, 0, 2</vt:lpwstr>
  </property>
</Properties>
</file>